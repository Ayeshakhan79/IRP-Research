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Scholarship\ERASMUS\CV\GITHUB\OFFICE\IRP\Latest Files\Github\QC and Data Dictionary\"/>
    </mc:Choice>
  </mc:AlternateContent>
  <bookViews>
    <workbookView xWindow="-105" yWindow="-105" windowWidth="19425" windowHeight="10305"/>
  </bookViews>
  <sheets>
    <sheet name="Ultrasound_mapping" sheetId="1" r:id="rId1"/>
  </sheets>
  <definedNames>
    <definedName name="_xlnm._FilterDatabase" localSheetId="0" hidden="1">Ultrasound_mapping!$A$1:$L$57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1" l="1"/>
  <c r="H8" i="1"/>
  <c r="H7" i="1"/>
  <c r="H56" i="1"/>
  <c r="H15" i="1"/>
  <c r="H16" i="1"/>
  <c r="H5" i="1"/>
  <c r="H3" i="1"/>
  <c r="H4" i="1"/>
  <c r="H51" i="1" l="1"/>
  <c r="H48" i="1"/>
  <c r="H47" i="1"/>
  <c r="H46" i="1"/>
  <c r="H45" i="1"/>
  <c r="H44" i="1"/>
  <c r="H57" i="1"/>
  <c r="H18" i="1"/>
  <c r="H19" i="1"/>
  <c r="H22" i="1"/>
  <c r="H21" i="1"/>
  <c r="H20" i="1"/>
  <c r="H12" i="1"/>
  <c r="H11" i="1"/>
  <c r="H10" i="1"/>
  <c r="H6" i="1"/>
  <c r="H27" i="1" l="1"/>
  <c r="H26" i="1"/>
  <c r="H25" i="1"/>
  <c r="H30" i="1"/>
  <c r="H29" i="1"/>
  <c r="H28" i="1"/>
  <c r="H32" i="1"/>
  <c r="H33" i="1"/>
  <c r="H31" i="1"/>
  <c r="H36" i="1"/>
  <c r="H35" i="1"/>
  <c r="H34" i="1"/>
  <c r="H38" i="1"/>
  <c r="H39" i="1"/>
  <c r="H37" i="1"/>
  <c r="H17" i="1"/>
  <c r="H13" i="1" l="1"/>
  <c r="H24" i="1"/>
  <c r="H49" i="1" l="1"/>
  <c r="H23" i="1"/>
  <c r="H14" i="1"/>
  <c r="H40" i="1"/>
  <c r="H41" i="1"/>
  <c r="H42" i="1"/>
  <c r="H50" i="1"/>
  <c r="H52" i="1"/>
  <c r="H53" i="1"/>
  <c r="H54" i="1"/>
  <c r="H55" i="1"/>
  <c r="H2" i="1"/>
</calcChain>
</file>

<file path=xl/comments1.xml><?xml version="1.0" encoding="utf-8"?>
<comments xmlns="http://schemas.openxmlformats.org/spreadsheetml/2006/main">
  <authors>
    <author>Ayesha Khan</author>
  </authors>
  <commentList>
    <comment ref="F37" authorId="0" shapeId="0">
      <text>
        <r>
          <rPr>
            <b/>
            <sz val="9"/>
            <color indexed="81"/>
            <rFont val="Tahoma"/>
            <family val="2"/>
          </rPr>
          <t>Ayesha Khan:</t>
        </r>
        <r>
          <rPr>
            <sz val="9"/>
            <color indexed="81"/>
            <rFont val="Tahoma"/>
            <family val="2"/>
          </rPr>
          <t xml:space="preserve">
</t>
        </r>
      </text>
    </comment>
  </commentList>
</comments>
</file>

<file path=xl/sharedStrings.xml><?xml version="1.0" encoding="utf-8"?>
<sst xmlns="http://schemas.openxmlformats.org/spreadsheetml/2006/main" count="449" uniqueCount="252">
  <si>
    <t>Label</t>
  </si>
  <si>
    <t>Option</t>
  </si>
  <si>
    <t xml:space="preserve">VPTID/VR ID </t>
  </si>
  <si>
    <t xml:space="preserve">Is this the woman’s first ultrasound </t>
  </si>
  <si>
    <t xml:space="preserve">1.	Yes 
2.	No </t>
  </si>
  <si>
    <t xml:space="preserve">Specify localization of pregnancy/Localization of Pregnancy </t>
  </si>
  <si>
    <t xml:space="preserve">1.	Intrauterine 
2.	Extrauterine 
3.	Unknown location </t>
  </si>
  <si>
    <t xml:space="preserve">Reason for ultrasound </t>
  </si>
  <si>
    <t xml:space="preserve">Can ultrasound measurements be obtained at this time </t>
  </si>
  <si>
    <t xml:space="preserve">Please specify reason that ultrasound cannot be obtained </t>
  </si>
  <si>
    <t>Biparietal Diameter (BPD)</t>
  </si>
  <si>
    <t xml:space="preserve">1.Gestational age 
2.	Multiple gestation 
3.	Fetal presentation 
4.	Fetal demise 
5.	Miscarriage 
6.	Placental localization 
7.	Hydatidiform mole
8.	Intrauterine growth restriction 
9.	Fetal anomaly 
10.	other </t>
  </si>
  <si>
    <t xml:space="preserve">Head Circumference (HC) </t>
  </si>
  <si>
    <t>Abdominal Circumference (AC)</t>
  </si>
  <si>
    <t>Femur Length (FL)</t>
  </si>
  <si>
    <t xml:space="preserve">Tanscerebellar diameter (TCD) </t>
  </si>
  <si>
    <t>Fetal Lie</t>
  </si>
  <si>
    <t>1.	longitudinal 
2.	transverse 
3.	oblique 
4.	Not recorded</t>
  </si>
  <si>
    <t>Fetal Presentation</t>
  </si>
  <si>
    <t>1.	Cephalic 
2.	Breech 
3.	Don’t Know</t>
  </si>
  <si>
    <t xml:space="preserve">Fetal heart activity be visualized? </t>
  </si>
  <si>
    <t>1.	Absent
2.	Present</t>
  </si>
  <si>
    <t>Amniotic Fluid index (AFI)</t>
  </si>
  <si>
    <t xml:space="preserve">Estimated fetal weight </t>
  </si>
  <si>
    <t>Does Ultrasound indicate fetal anomalies</t>
  </si>
  <si>
    <t xml:space="preserve">1.	Clif Lip/Palate 
2.	Spina Bifidia/Neural tube defect 
3.	Abdominal wall defect 
4.	bladder exstrophy
5.	kidney malformation
6.	anorectal malformation
7.	congenital heart disease
8.	bowel obstruction
9.	tracheoesophageal fistula 
10.	hydrocephalus 
11.	development dysplasia of the hip
12.	club foot
13.	others </t>
  </si>
  <si>
    <t xml:space="preserve">Liquor description </t>
  </si>
  <si>
    <t xml:space="preserve">1.	Adequate 
2.	Santy
3.	Excess
4.	Not recorded </t>
  </si>
  <si>
    <t xml:space="preserve">Placental localization </t>
  </si>
  <si>
    <t xml:space="preserve">1.	Fundus 
2.	Anterior wall
3.	Posterior wall
4.	Right wall
5.	Left wall
6.	On lower segment 
7.	Placental, low lying covering int.Os
8.	Placenta low lying not covering int. Os
9.	Not low lying </t>
  </si>
  <si>
    <t xml:space="preserve">Is there evidence of placental abruption </t>
  </si>
  <si>
    <t xml:space="preserve">1.	Yes 
2.	No 
3.	Don’t know </t>
  </si>
  <si>
    <t xml:space="preserve">Is there evidence of placenta previa </t>
  </si>
  <si>
    <t xml:space="preserve">1. Evidence of molar pregnancy or pregnancy failure 
2. Gestational sac visible but yolk sac or fetus not identified 
3. Gestational and yolk sac visible but fetus not identified </t>
  </si>
  <si>
    <t xml:space="preserve">Field Type </t>
  </si>
  <si>
    <t>Multiple field</t>
  </si>
  <si>
    <t>crownRumplength1</t>
  </si>
  <si>
    <t>crownRumplength2</t>
  </si>
  <si>
    <t>crownRumplength</t>
  </si>
  <si>
    <t>gestationalWeeks</t>
  </si>
  <si>
    <t>gestationalDays</t>
  </si>
  <si>
    <t>biparetalDiameter</t>
  </si>
  <si>
    <t>headCircumference</t>
  </si>
  <si>
    <t>abdominalCircumference</t>
  </si>
  <si>
    <t>femurLength</t>
  </si>
  <si>
    <t>lie</t>
  </si>
  <si>
    <t>presentation</t>
  </si>
  <si>
    <t>estimatedFetalWeight</t>
  </si>
  <si>
    <t>presence_of_fetal_anomalies</t>
  </si>
  <si>
    <t>liquorDescription</t>
  </si>
  <si>
    <t>placentalLocalization</t>
  </si>
  <si>
    <t>placental_abruption</t>
  </si>
  <si>
    <t>placenta_previa</t>
  </si>
  <si>
    <t>fetalHeartbeat</t>
  </si>
  <si>
    <t>Single field</t>
  </si>
  <si>
    <t>Ques. No.</t>
  </si>
  <si>
    <t>single field</t>
  </si>
  <si>
    <t>pregnancy_localization_reason</t>
  </si>
  <si>
    <t>reason_ultrasound_not_obtained_reason</t>
  </si>
  <si>
    <t xml:space="preserve">SQL Query </t>
  </si>
  <si>
    <t>biparetaldiameter1</t>
  </si>
  <si>
    <t>biparetaldiameter2</t>
  </si>
  <si>
    <t>headcircumference1</t>
  </si>
  <si>
    <t>headcircumference2</t>
  </si>
  <si>
    <t>abdominalcircumference1</t>
  </si>
  <si>
    <t>abdominalcircumference2</t>
  </si>
  <si>
    <t>(Auto calculate) Final AC (mean of measurement 1 and 2)</t>
  </si>
  <si>
    <t>femurlength1</t>
  </si>
  <si>
    <t>femurlength2</t>
  </si>
  <si>
    <t>identifiers_opensrp_id</t>
  </si>
  <si>
    <t>Gestational weeks</t>
  </si>
  <si>
    <t xml:space="preserve">Gestational days </t>
  </si>
  <si>
    <t>Color</t>
  </si>
  <si>
    <t>Description</t>
  </si>
  <si>
    <t>a. CRL measurement 1 (IN MILLIMETERS)</t>
  </si>
  <si>
    <t>b. CRL measurement 2 (IN MILLIMETERS)</t>
  </si>
  <si>
    <t>Crown-rump length (CRL)</t>
  </si>
  <si>
    <t>c. (Auto calculate) Final CRL (mean of measurement 1 and 2)</t>
  </si>
  <si>
    <t>a.  BPD measurement 1 (IN CENTIMETERS)</t>
  </si>
  <si>
    <t>b. BPD measurement 2 (IN CENTIMETERS)</t>
  </si>
  <si>
    <t>c. (Auto calculate) Final BPD (mean of measurement 1 and 2)</t>
  </si>
  <si>
    <t xml:space="preserve">a. HC measurement 1 (IN CENTIMETERS) </t>
  </si>
  <si>
    <t>b. HC measurement 2 (IN CENTIMETERS)</t>
  </si>
  <si>
    <t>c. (Auto calculate) Final HC (mean of measurement 1 and 2)</t>
  </si>
  <si>
    <t>AC measurement 1 (IN CENTIMETERS)</t>
  </si>
  <si>
    <t>AC measurement 2 (IN CENTIMETERS)</t>
  </si>
  <si>
    <t>a. FL measurement 1 (IN CENTIMETERS)</t>
  </si>
  <si>
    <t>b. FL measurement 2 (IN CENTIMETERS)</t>
  </si>
  <si>
    <t xml:space="preserve">c. (Auto calculate) Final FL (mean of measurement 1 and 2) </t>
  </si>
  <si>
    <t>a. TCD measurement 1 (IN MILLIMETERS)</t>
  </si>
  <si>
    <t>b. TCD measurement 2 (IN MILLIMETERS)</t>
  </si>
  <si>
    <t>c. (Auto calculate) Final TCD (mean of measurement 1 and 2)</t>
  </si>
  <si>
    <t>Date of Ultrasound</t>
  </si>
  <si>
    <t>Visit Number</t>
  </si>
  <si>
    <t>Fetus Number</t>
  </si>
  <si>
    <t>Pregnancy ID</t>
  </si>
  <si>
    <t>constructed</t>
  </si>
  <si>
    <t>zz2</t>
  </si>
  <si>
    <t>zz3</t>
  </si>
  <si>
    <t>zz4</t>
  </si>
  <si>
    <t>zz5</t>
  </si>
  <si>
    <t>current_pregnancy_id_reason</t>
  </si>
  <si>
    <t>zz6</t>
  </si>
  <si>
    <t>Time of Ultrasound</t>
  </si>
  <si>
    <t>User_ID</t>
  </si>
  <si>
    <t>ultrasound.providerid</t>
  </si>
  <si>
    <t>amnioticfluidindex_ga</t>
  </si>
  <si>
    <t>amnioticfluidindex1_ga</t>
  </si>
  <si>
    <t>amnioticfluidindex2_ga</t>
  </si>
  <si>
    <t>amnioticfluidindex3_ga</t>
  </si>
  <si>
    <t>amnioticfluidindex4_ga</t>
  </si>
  <si>
    <t>Additional Attributes</t>
  </si>
  <si>
    <t>Does Ultrasound indicate fetal anomalies (Other Specify)</t>
  </si>
  <si>
    <t>otherfetalanomalies</t>
  </si>
  <si>
    <t>mutiple field</t>
  </si>
  <si>
    <t>Site</t>
  </si>
  <si>
    <t>zz0.1</t>
  </si>
  <si>
    <t>zz0.2</t>
  </si>
  <si>
    <t>zz0.3</t>
  </si>
  <si>
    <t>(case when ultrasound_obtained_reason='true' then 'yes' when ultrasound_obtained_reason='false' then 'no' else null end)</t>
  </si>
  <si>
    <t xml:space="preserve">1. Yes 
2. No </t>
  </si>
  <si>
    <t>ultrasound_reasons</t>
  </si>
  <si>
    <t>cast(ultrasound.version as date)</t>
  </si>
  <si>
    <t>left(cast(ultrasound.version as time),5)</t>
  </si>
  <si>
    <t>dense_rank() over (partition by current_pregnancy_id_reason order by cast(version as date))</t>
  </si>
  <si>
    <t>(case when dense_rank() over (partition by current_pregnancy_id_reason order by cast(version as date))=1 then 'yes' else 'no' end)</t>
  </si>
  <si>
    <t>ROW_NUMBER() over (partition by current_pregnancy_id_reason,cast(version as date) order by cast(version as date),crownrumplength,headcircumference,fetalheartrate)</t>
  </si>
  <si>
    <t>count(cast(version as date)) over (partition by current_pregnancy_id_reason,cast(version as date) order by cast(version as date))</t>
  </si>
  <si>
    <t>Count of Fetuses</t>
  </si>
  <si>
    <t>vr.client</t>
  </si>
  <si>
    <t xml:space="preserve">vr.ultrasound </t>
  </si>
  <si>
    <t>vr.ultrasound</t>
  </si>
  <si>
    <t>Indicator</t>
  </si>
  <si>
    <t xml:space="preserve">Variable Name </t>
  </si>
  <si>
    <t xml:space="preserve">Table Name </t>
  </si>
  <si>
    <t>Available in VR &amp; VPT</t>
  </si>
  <si>
    <t>Available in VR only</t>
  </si>
  <si>
    <t>Available in VPT only</t>
  </si>
  <si>
    <t>{value=5, err=Crown length must be equal or greater than 5}</t>
  </si>
  <si>
    <t>{value=100, err=Crown length must be equal or less than 100}</t>
  </si>
  <si>
    <t>{value=2, err=Biparietal diameter must be equal or greater than 2}</t>
  </si>
  <si>
    <t>{value=11, err=Biparietal diameter must be equal or less than 11}</t>
  </si>
  <si>
    <t>{value=36, err=Head circumference must be equal or less than 36}</t>
  </si>
  <si>
    <t>{value=8, err=Head circumference must be equal or greater than 8}</t>
  </si>
  <si>
    <t>{value=8, err=Abdominal circumference must be equal or greater than 8}</t>
  </si>
  <si>
    <t>{value=41, err=Abdominal circumference must be equal or less than 41}</t>
  </si>
  <si>
    <t>{value=1, err=Femur length must be equal or greater than 1}</t>
  </si>
  <si>
    <t>{value=8, err=Femur length must be equal or less than 8}</t>
  </si>
  <si>
    <t>{value=10, err=Transcerebellar diameter must be equal or greater than 10}</t>
  </si>
  <si>
    <t>{value=60, err=Transcerebellar diameter must be equal or less than 60}</t>
  </si>
  <si>
    <t>{value=0, err=Amniotic Fluid Index must be equal or greater than 0 cm}</t>
  </si>
  <si>
    <t>{value=40, err=Amniotic Fluid Index must be equal or less than 40 cm}</t>
  </si>
  <si>
    <t>{value=0, err=Amniotic Fluid Index must be equal or greater than 0}</t>
  </si>
  <si>
    <t>{value=40, err=Amniotic Fluid Index must be equal or less than 40}</t>
  </si>
  <si>
    <t>{value=0, err=Weight must be equal or greater than 0}</t>
  </si>
  <si>
    <t>{value=5000, err=Weight must be equal or less than 5000}</t>
  </si>
  <si>
    <t>step1_crownRumplength &gt;= 85</t>
  </si>
  <si>
    <t>step1_gestationalAge &gt; 112 &amp;&amp; step1_crownRumplength &gt;= 85</t>
  </si>
  <si>
    <t>step1_presence_of_fetal_anomalies.contains('others')</t>
  </si>
  <si>
    <t>2. amnioticfluidindex1_ga</t>
  </si>
  <si>
    <t>3. amnioticfluidindex2_ga</t>
  </si>
  <si>
    <t xml:space="preserve">4. amnioticfluidindex3_ga </t>
  </si>
  <si>
    <t xml:space="preserve">1. amniotic fluid index </t>
  </si>
  <si>
    <t>5. amnioticfluidindex4_ga</t>
  </si>
  <si>
    <t>step1_gestationalAge &gt; 196</t>
  </si>
  <si>
    <t xml:space="preserve">step1_crownRumplength &gt;= 85 </t>
  </si>
  <si>
    <t xml:space="preserve">{value=0, err=Amniotic Fluid Index must be equal or greater than 0 cm} </t>
  </si>
  <si>
    <t>2.7.a</t>
  </si>
  <si>
    <t>2.7.b</t>
  </si>
  <si>
    <t>2.7.c</t>
  </si>
  <si>
    <t>3.1.a</t>
  </si>
  <si>
    <t>3.1.b</t>
  </si>
  <si>
    <t>3.1.c</t>
  </si>
  <si>
    <t>3.2. a</t>
  </si>
  <si>
    <t>3.2. b</t>
  </si>
  <si>
    <t>3.2. c</t>
  </si>
  <si>
    <t>3.3. a</t>
  </si>
  <si>
    <t>3.3. b</t>
  </si>
  <si>
    <t>3.3.c</t>
  </si>
  <si>
    <t>3.4. a</t>
  </si>
  <si>
    <t>3.5. a</t>
  </si>
  <si>
    <t>3.5. b</t>
  </si>
  <si>
    <t>3.5.c</t>
  </si>
  <si>
    <t>4.2.</t>
  </si>
  <si>
    <t>4.4.a</t>
  </si>
  <si>
    <t>4.4.b</t>
  </si>
  <si>
    <t>4.4.c</t>
  </si>
  <si>
    <t>4.4.d</t>
  </si>
  <si>
    <t>4.4.e</t>
  </si>
  <si>
    <t>4.6a</t>
  </si>
  <si>
    <t>5.0.</t>
  </si>
  <si>
    <t>suspected_placenta_previa</t>
  </si>
  <si>
    <t>1. complete
2. marginal
3. partial</t>
  </si>
  <si>
    <t>step1_placenta_previa == 'yes'</t>
  </si>
  <si>
    <t>4.3a</t>
  </si>
  <si>
    <t>Fetal Heart rate</t>
  </si>
  <si>
    <t>fetalheartrate</t>
  </si>
  <si>
    <t>fetalheartrate as 'Fetal Heart rate ',</t>
  </si>
  <si>
    <t>{value=80, err=Fetal heart rate must be equal or greater than 80}</t>
  </si>
  <si>
    <t>{value=220, err=Fetal heart rate must be less than 220}</t>
  </si>
  <si>
    <t>step1_fetalHeartbeat== 'present'</t>
  </si>
  <si>
    <r>
      <t xml:space="preserve">{value=2, err=Biparetal diameter must be equal or greater than 2} </t>
    </r>
    <r>
      <rPr>
        <b/>
        <sz val="11"/>
        <color rgb="FFFF0000"/>
        <rFont val="Calibri"/>
        <family val="2"/>
      </rPr>
      <t>(only for VPT)</t>
    </r>
  </si>
  <si>
    <r>
      <t>{value=11, err=Biparetal diameter must be equal or less than 11}</t>
    </r>
    <r>
      <rPr>
        <b/>
        <sz val="11"/>
        <color rgb="FFFF0000"/>
        <rFont val="Calibri"/>
        <family val="2"/>
      </rPr>
      <t xml:space="preserve"> (only for VPT)</t>
    </r>
  </si>
  <si>
    <r>
      <rPr>
        <sz val="11"/>
        <rFont val="Calibri"/>
        <family val="2"/>
      </rPr>
      <t>{value=8, err=Head circumference must be equal or greater than 8}</t>
    </r>
    <r>
      <rPr>
        <b/>
        <sz val="11"/>
        <color rgb="FFFF0000"/>
        <rFont val="Calibri"/>
        <family val="2"/>
      </rPr>
      <t xml:space="preserve"> (only for VPT)</t>
    </r>
  </si>
  <si>
    <r>
      <t xml:space="preserve">{value=36, err=Head circumference must be equal or less than 36} </t>
    </r>
    <r>
      <rPr>
        <b/>
        <sz val="11"/>
        <color rgb="FFFF0000"/>
        <rFont val="Calibri"/>
        <family val="2"/>
      </rPr>
      <t>(only for VPT)</t>
    </r>
  </si>
  <si>
    <r>
      <rPr>
        <sz val="11"/>
        <rFont val="Calibri"/>
        <family val="2"/>
      </rPr>
      <t>{value=8, err=Abdominal circumference must be equal or greater than 8}</t>
    </r>
    <r>
      <rPr>
        <b/>
        <sz val="11"/>
        <color rgb="FFFF0000"/>
        <rFont val="Calibri"/>
        <family val="2"/>
      </rPr>
      <t xml:space="preserve"> (only for VPT)</t>
    </r>
  </si>
  <si>
    <r>
      <t xml:space="preserve">{value=41, err=Abdominal circumference must be equal or less than 41} </t>
    </r>
    <r>
      <rPr>
        <b/>
        <sz val="11"/>
        <color rgb="FFFF0000"/>
        <rFont val="Calibri"/>
        <family val="2"/>
      </rPr>
      <t>(only for VPT)</t>
    </r>
  </si>
  <si>
    <r>
      <t xml:space="preserve">{value=1, err=Femur length must be equal or greater than 1} </t>
    </r>
    <r>
      <rPr>
        <b/>
        <sz val="11"/>
        <color rgb="FFFF0000"/>
        <rFont val="Calibri"/>
        <family val="2"/>
      </rPr>
      <t>(only for VPT)</t>
    </r>
  </si>
  <si>
    <r>
      <t xml:space="preserve">{value=8, err=Femur length must be equal or less than 8} </t>
    </r>
    <r>
      <rPr>
        <b/>
        <sz val="11"/>
        <color rgb="FFFF0000"/>
        <rFont val="Calibri"/>
        <family val="2"/>
      </rPr>
      <t>(only for VPT)</t>
    </r>
  </si>
  <si>
    <r>
      <t>step1_gestationalWeeks &gt;= 24</t>
    </r>
    <r>
      <rPr>
        <b/>
        <sz val="11"/>
        <color rgb="FFFF0000"/>
        <rFont val="Calibri"/>
        <family val="2"/>
      </rPr>
      <t xml:space="preserve"> (only for VR)</t>
    </r>
    <r>
      <rPr>
        <sz val="11"/>
        <color theme="1"/>
        <rFont val="Calibri"/>
        <family val="2"/>
      </rPr>
      <t xml:space="preserve">                                                              step1_gestationalWeeks &gt; 27 </t>
    </r>
    <r>
      <rPr>
        <b/>
        <sz val="11"/>
        <color rgb="FFFF0000"/>
        <rFont val="Calibri"/>
        <family val="2"/>
      </rPr>
      <t>( only for VPT)</t>
    </r>
  </si>
  <si>
    <r>
      <t xml:space="preserve">step1_gestationalWeeks &gt;= 24 </t>
    </r>
    <r>
      <rPr>
        <b/>
        <sz val="11"/>
        <color rgb="FFFF0000"/>
        <rFont val="Calibri"/>
        <family val="2"/>
      </rPr>
      <t xml:space="preserve">(only for VR)  </t>
    </r>
    <r>
      <rPr>
        <sz val="11"/>
        <color theme="1"/>
        <rFont val="Calibri"/>
        <family val="2"/>
      </rPr>
      <t xml:space="preserve">                                                            step1_gestationalWeeks &gt; 27 </t>
    </r>
    <r>
      <rPr>
        <b/>
        <sz val="11"/>
        <color rgb="FFFF0000"/>
        <rFont val="Calibri"/>
        <family val="2"/>
      </rPr>
      <t>( only for VPT)</t>
    </r>
  </si>
  <si>
    <r>
      <t>{value=0.5, err=Amniotic Fluid Index must be equal or greater than 0.5}</t>
    </r>
    <r>
      <rPr>
        <b/>
        <sz val="11"/>
        <color rgb="FFFF0000"/>
        <rFont val="Calibri"/>
        <family val="2"/>
      </rPr>
      <t xml:space="preserve">  (only for VPT)</t>
    </r>
  </si>
  <si>
    <r>
      <t xml:space="preserve">{value=60, err=Amniotic Fluid Index must be equal or less than 60} </t>
    </r>
    <r>
      <rPr>
        <b/>
        <sz val="11"/>
        <color rgb="FFFF0000"/>
        <rFont val="Calibri"/>
        <family val="2"/>
      </rPr>
      <t>(only for VPT)</t>
    </r>
  </si>
  <si>
    <r>
      <t xml:space="preserve">step1_gestationalAge &gt; 112 </t>
    </r>
    <r>
      <rPr>
        <b/>
        <sz val="11"/>
        <color rgb="FFFF0000"/>
        <rFont val="Calibri"/>
        <family val="2"/>
      </rPr>
      <t>(only for VPT)</t>
    </r>
  </si>
  <si>
    <t>Difference in skipping pattern for fetal lie and presentation variable</t>
  </si>
  <si>
    <t xml:space="preserve">Amnioticfluidindex1_ga   </t>
  </si>
  <si>
    <t xml:space="preserve">Amnioticfluidindex2_ga   </t>
  </si>
  <si>
    <t xml:space="preserve">Amnioticfluidindex3_ga   </t>
  </si>
  <si>
    <t xml:space="preserve">Amnioticfluidindex4_ga   </t>
  </si>
  <si>
    <t>Change Log</t>
  </si>
  <si>
    <t xml:space="preserve">(5/30/2024) Enter Ultrasound Results-&gt;Fetal lie &amp; Fetal presentation will appear as mandatory fields when GA&gt;24 </t>
  </si>
  <si>
    <t xml:space="preserve">(5/30/2024) Enter Ultrasound Results-&gt;Localization of Pregnancy
(11/13/2023) Ultrasound Results &gt;&gt; Enter Results &gt;&gt; Placental Localization &gt;&gt; add ‘N/A - Monochorionic (shared placenta) with baby’ option
Ultrasound Results &gt;&gt; Enter Results &gt;&gt; Is there evidence of placenta previa? &gt;&gt; Yes &gt;&gt; add the following sub-question: (Complete/Partial/Marginal)
	</t>
  </si>
  <si>
    <t>(11/13/2023) Ultrasound Results &gt;&gt; Enter Results &gt;&gt; Placental Localization &gt;&gt; add ‘N/A - Monochorionic (shared placenta) with baby’ option
Ultrasound Results &gt;&gt; Enter Results &gt;&gt; Is there evidence of placenta previa? &gt;&gt; Yes &gt;&gt; add the following sub-question: (Complete/Partial/Marginal)</t>
  </si>
  <si>
    <t xml:space="preserve">(7/31/2023) Update (Ultrasound) Task &gt; Add Results &gt; "Can ultrasound measurements be obtained at this time?" IF YES &gt; Number of foetuses &gt; Enter Ultrasound Results for Foetuses &gt; Estimated Fetal Weight </t>
  </si>
  <si>
    <t>(5/24/2023) The following validations must be added to the sonologist module across both VR and VPT sites:
Make 'transcerebellar diameter' a non-mandatory field for women with GA less than equal to 16 weeks and 0 days. 
Open 'estimated fetal weight' when crown rump length is greater than equal to 85 mm. 
Make 'amniotic fluid index' a non-mandatory field for women with GA less than equal to 16 weeks and 0 days. Previously, the feilds were mandatory without any check of GA</t>
  </si>
  <si>
    <t>System Generated</t>
  </si>
  <si>
    <t>If yes; then suspected placenta previa</t>
  </si>
  <si>
    <t>Available in VPT</t>
  </si>
  <si>
    <t>Available in VR</t>
  </si>
  <si>
    <t>Min Value (VR or VPT)</t>
  </si>
  <si>
    <t>Max Value (VR or VPT)</t>
  </si>
  <si>
    <t>Comments (VR or VPT)</t>
  </si>
  <si>
    <t>Women Age</t>
  </si>
  <si>
    <t>Ethnicity</t>
  </si>
  <si>
    <t>Phone No</t>
  </si>
  <si>
    <t>concat(site_code,'-',site_name)</t>
  </si>
  <si>
    <t>concat(coalesce(mohalla_code,para_code),'-',block_code,'-',structure_code)</t>
  </si>
  <si>
    <t>attributes_women_ethnicity</t>
  </si>
  <si>
    <t>attributes_primary_phone_number</t>
  </si>
  <si>
    <t>zz1.0</t>
  </si>
  <si>
    <t>zz1.1</t>
  </si>
  <si>
    <t>zz1.2</t>
  </si>
  <si>
    <t>zz1.3</t>
  </si>
  <si>
    <t>(year(cast(ultrasound.version as date))-year(birthdate))</t>
  </si>
  <si>
    <t>Address (ParaCode-Block-Struct OR MohallaCode-StructCode)</t>
  </si>
  <si>
    <t>Address (ParaName-Block-Struct OR MohallaName-StructCode)</t>
  </si>
  <si>
    <t>concat(coalesce(mohalla_name,para_name),'-',block_code,'-',structure_name)</t>
  </si>
  <si>
    <t>transcerebellarDiameter1_GA</t>
  </si>
  <si>
    <t>transcerebellarDiameter2_GA</t>
  </si>
  <si>
    <t>transcerebellarDiameter_GA</t>
  </si>
  <si>
    <t>step1_crownRumplength &gt;= 85 &amp;&amp; step1_gestationalAge &gt; 112</t>
  </si>
  <si>
    <t xml:space="preserve">step1_crownRumplength &gt;= 85 &amp;&amp; step1_gestationalAge &gt; 112 </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</si>
</sst>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Aptos Narrow"/>
      <family val="2"/>
      <scheme val="minor"/>
    </font>
    <font>
      <b/>
      <sz val="11"/>
      <color theme="1"/>
      <name val="Calibri"/>
      <family val="2"/>
    </font>
    <font>
      <sz val="11"/>
      <color rgb="FF000000"/>
      <name val="Calibri"/>
      <family val="2"/>
    </font>
    <font>
      <sz val="8"/>
      <name val="Aptos Narrow"/>
      <family val="2"/>
      <scheme val="minor"/>
    </font>
    <font>
      <sz val="11"/>
      <color theme="1"/>
      <name val="Calibri"/>
      <family val="2"/>
    </font>
    <font>
      <sz val="9"/>
      <color theme="1"/>
      <name val="Calibri"/>
      <family val="2"/>
    </font>
    <font>
      <sz val="11"/>
      <color theme="1"/>
      <name val="Times New Roman"/>
      <family val="1"/>
    </font>
    <font>
      <sz val="9"/>
      <color indexed="81"/>
      <name val="Tahoma"/>
      <family val="2"/>
    </font>
    <font>
      <b/>
      <sz val="9"/>
      <color indexed="81"/>
      <name val="Tahoma"/>
      <family val="2"/>
    </font>
    <font>
      <b/>
      <sz val="11"/>
      <color theme="0"/>
      <name val="Calibri"/>
      <family val="2"/>
    </font>
    <font>
      <sz val="10"/>
      <color theme="1"/>
      <name val="Calibri"/>
      <family val="2"/>
    </font>
    <font>
      <b/>
      <sz val="11"/>
      <color rgb="FFFF0000"/>
      <name val="Calibri"/>
      <family val="2"/>
    </font>
    <font>
      <sz val="11"/>
      <name val="Calibri"/>
      <family val="2"/>
    </font>
  </fonts>
  <fills count="10">
    <fill>
      <patternFill patternType="none"/>
    </fill>
    <fill>
      <patternFill patternType="gray125"/>
    </fill>
    <fill>
      <patternFill patternType="solid">
        <fgColor theme="3" tint="0.749992370372631"/>
        <bgColor indexed="64"/>
      </patternFill>
    </fill>
    <fill>
      <patternFill patternType="solid">
        <fgColor rgb="FFFFFF00"/>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8" borderId="1" xfId="0" applyFont="1" applyFill="1" applyBorder="1" applyAlignment="1">
      <alignment horizontal="center" vertical="center" wrapText="1"/>
    </xf>
    <xf numFmtId="0" fontId="4" fillId="0" borderId="0" xfId="0" applyFont="1" applyAlignment="1">
      <alignment horizontal="center" vertical="center"/>
    </xf>
    <xf numFmtId="0" fontId="9" fillId="4" borderId="1" xfId="0" applyFont="1" applyFill="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vertical="center"/>
    </xf>
    <xf numFmtId="0" fontId="4" fillId="0" borderId="0" xfId="0" applyFont="1" applyAlignment="1">
      <alignment vertical="top"/>
    </xf>
    <xf numFmtId="0" fontId="4" fillId="3" borderId="1" xfId="0" applyFont="1" applyFill="1" applyBorder="1" applyAlignment="1">
      <alignment vertical="center"/>
    </xf>
    <xf numFmtId="0" fontId="4" fillId="6" borderId="1" xfId="0" applyFont="1" applyFill="1" applyBorder="1" applyAlignment="1">
      <alignment vertical="center"/>
    </xf>
    <xf numFmtId="0" fontId="4" fillId="7" borderId="1" xfId="0" applyFont="1" applyFill="1" applyBorder="1" applyAlignment="1">
      <alignment vertical="center"/>
    </xf>
    <xf numFmtId="0" fontId="4" fillId="0" borderId="0" xfId="0" applyFont="1" applyAlignment="1">
      <alignment vertical="center"/>
    </xf>
    <xf numFmtId="0" fontId="4" fillId="0" borderId="1" xfId="0" applyFont="1" applyBorder="1" applyAlignment="1">
      <alignment wrapText="1"/>
    </xf>
    <xf numFmtId="0" fontId="11" fillId="0" borderId="1" xfId="0" applyFont="1" applyBorder="1" applyAlignment="1">
      <alignment vertical="center" wrapText="1"/>
    </xf>
    <xf numFmtId="0" fontId="4" fillId="3" borderId="1" xfId="0" applyFont="1" applyFill="1" applyBorder="1" applyAlignment="1">
      <alignment vertical="center" wrapText="1"/>
    </xf>
    <xf numFmtId="0" fontId="4" fillId="3" borderId="1" xfId="0" applyFont="1" applyFill="1" applyBorder="1" applyAlignment="1">
      <alignment wrapText="1"/>
    </xf>
    <xf numFmtId="0" fontId="4" fillId="0" borderId="1" xfId="0" applyFont="1" applyBorder="1"/>
    <xf numFmtId="0" fontId="10" fillId="0" borderId="1" xfId="0" applyFont="1" applyBorder="1" applyAlignment="1">
      <alignment vertical="center" wrapText="1"/>
    </xf>
    <xf numFmtId="0" fontId="10" fillId="0" borderId="1" xfId="0" applyFont="1" applyBorder="1" applyAlignment="1">
      <alignment vertical="center"/>
    </xf>
    <xf numFmtId="0" fontId="4" fillId="0" borderId="2" xfId="0" applyFont="1" applyBorder="1" applyAlignment="1">
      <alignment vertical="top"/>
    </xf>
    <xf numFmtId="0" fontId="4" fillId="0" borderId="0" xfId="0" applyFont="1" applyAlignment="1">
      <alignment vertical="center" wrapText="1"/>
    </xf>
    <xf numFmtId="0" fontId="4" fillId="0" borderId="1" xfId="0" applyFont="1" applyBorder="1" applyAlignment="1">
      <alignment horizontal="center" vertical="center"/>
    </xf>
    <xf numFmtId="0" fontId="4" fillId="6" borderId="1" xfId="0" applyFont="1" applyFill="1" applyBorder="1" applyAlignment="1">
      <alignment horizontal="center" vertical="center"/>
    </xf>
    <xf numFmtId="0" fontId="4" fillId="5"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4" fillId="0" borderId="0" xfId="0" applyFont="1" applyAlignment="1">
      <alignment vertical="top" wrapText="1"/>
    </xf>
    <xf numFmtId="0" fontId="4" fillId="0" borderId="1" xfId="0" applyFont="1" applyBorder="1" applyAlignment="1">
      <alignment horizontal="center" vertical="center" wrapText="1"/>
    </xf>
    <xf numFmtId="0" fontId="2" fillId="0" borderId="1" xfId="0" applyFont="1" applyBorder="1" applyAlignment="1">
      <alignment vertical="center" wrapText="1"/>
    </xf>
    <xf numFmtId="0" fontId="6" fillId="0" borderId="0" xfId="0" applyFont="1" applyAlignment="1">
      <alignment horizontal="center" vertical="center"/>
    </xf>
    <xf numFmtId="0" fontId="4" fillId="0" borderId="1" xfId="0" applyFont="1" applyBorder="1" applyAlignment="1">
      <alignment horizontal="left" vertical="center"/>
    </xf>
    <xf numFmtId="0" fontId="5" fillId="0" borderId="1" xfId="0" applyFont="1" applyBorder="1" applyAlignment="1">
      <alignment vertical="center"/>
    </xf>
    <xf numFmtId="49" fontId="4" fillId="0" borderId="1" xfId="0" applyNumberFormat="1" applyFont="1" applyBorder="1" applyAlignment="1">
      <alignment vertical="center" wrapText="1"/>
    </xf>
    <xf numFmtId="0" fontId="10" fillId="3" borderId="1" xfId="0" applyFont="1" applyFill="1" applyBorder="1" applyAlignment="1">
      <alignment vertical="center"/>
    </xf>
    <xf numFmtId="0" fontId="4" fillId="0" borderId="1" xfId="0" applyFont="1" applyBorder="1" applyAlignment="1">
      <alignment horizontal="left" vertical="center" wrapText="1"/>
    </xf>
    <xf numFmtId="0" fontId="4" fillId="3" borderId="1" xfId="0" applyFont="1" applyFill="1" applyBorder="1" applyAlignment="1">
      <alignment horizontal="left" vertical="center"/>
    </xf>
    <xf numFmtId="0" fontId="1" fillId="9" borderId="1" xfId="0" applyFont="1" applyFill="1" applyBorder="1" applyAlignment="1">
      <alignment horizontal="center" vertical="center" wrapText="1"/>
    </xf>
    <xf numFmtId="0" fontId="4" fillId="0" borderId="1" xfId="0" applyFont="1" applyBorder="1" applyAlignment="1">
      <alignment vertical="top" wrapText="1"/>
    </xf>
    <xf numFmtId="0" fontId="1" fillId="0" borderId="3" xfId="0" applyFont="1" applyBorder="1" applyAlignment="1">
      <alignment horizontal="center" vertical="center"/>
    </xf>
    <xf numFmtId="0" fontId="4" fillId="3" borderId="1" xfId="0" applyFont="1" applyFill="1" applyBorder="1" applyAlignment="1">
      <alignment vertical="top" wrapText="1"/>
    </xf>
    <xf numFmtId="0" fontId="1" fillId="2" borderId="1" xfId="0" applyFont="1" applyFill="1" applyBorder="1" applyAlignment="1">
      <alignment horizontal="center" vertical="center" wrapText="1"/>
    </xf>
    <xf numFmtId="0" fontId="4" fillId="0" borderId="0" xfId="0" applyFont="1" applyAlignment="1">
      <alignment horizontal="left" vertical="center"/>
    </xf>
    <xf numFmtId="0" fontId="4" fillId="8" borderId="1" xfId="0" applyFont="1" applyFill="1" applyBorder="1" applyAlignment="1">
      <alignment vertical="top"/>
    </xf>
    <xf numFmtId="0" fontId="10" fillId="0" borderId="1" xfId="0" applyFont="1" applyBorder="1" applyAlignment="1">
      <alignment horizontal="center" vertical="center"/>
    </xf>
    <xf numFmtId="0" fontId="10" fillId="8"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7" borderId="1" xfId="0" applyFont="1" applyFill="1" applyBorder="1" applyAlignment="1">
      <alignment horizontal="center" vertical="center"/>
    </xf>
    <xf numFmtId="0" fontId="4" fillId="0" borderId="3" xfId="0" applyFont="1" applyBorder="1" applyAlignment="1">
      <alignment horizontal="center" vertical="center"/>
    </xf>
    <xf numFmtId="0" fontId="4" fillId="3" borderId="3"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O57"/>
  <sheetViews>
    <sheetView tabSelected="1" zoomScale="85" zoomScaleNormal="85" workbookViewId="0">
      <pane xSplit="3" ySplit="1" topLeftCell="K40" activePane="bottomRight" state="frozen"/>
      <selection pane="topRight" activeCell="D1" sqref="D1"/>
      <selection pane="bottomLeft" activeCell="A2" sqref="A2"/>
      <selection pane="bottomRight" activeCell="K43" sqref="K43"/>
    </sheetView>
  </sheetViews>
  <sheetFormatPr defaultColWidth="25.625" defaultRowHeight="15"/>
  <cols>
    <col min="1" max="1" width="5.625" style="6" bestFit="1" customWidth="1"/>
    <col min="2" max="2" width="35.375" style="23" customWidth="1"/>
    <col min="3" max="3" width="17.375" style="6" bestFit="1" customWidth="1"/>
    <col min="4" max="4" width="51.875" style="14" bestFit="1" customWidth="1"/>
    <col min="5" max="5" width="11.625" style="6" bestFit="1" customWidth="1"/>
    <col min="6" max="6" width="29.875" style="14" customWidth="1"/>
    <col min="7" max="7" width="15.625" style="43" customWidth="1"/>
    <col min="8" max="8" width="59.875" style="28" customWidth="1"/>
    <col min="9" max="9" width="39.875" style="23" customWidth="1"/>
    <col min="10" max="11" width="39.875" style="14" customWidth="1"/>
    <col min="12" max="12" width="55" style="28" customWidth="1"/>
    <col min="13" max="13" width="25.625" style="10"/>
    <col min="14" max="14" width="9.5" style="10" customWidth="1"/>
    <col min="15" max="15" width="26.5" style="28" bestFit="1" customWidth="1"/>
    <col min="16" max="16384" width="25.625" style="10"/>
  </cols>
  <sheetData>
    <row r="1" spans="1:15" s="6" customFormat="1" ht="30">
      <c r="A1" s="1" t="s">
        <v>55</v>
      </c>
      <c r="B1" s="1" t="s">
        <v>0</v>
      </c>
      <c r="C1" s="1" t="s">
        <v>132</v>
      </c>
      <c r="D1" s="2" t="s">
        <v>1</v>
      </c>
      <c r="E1" s="40" t="s">
        <v>34</v>
      </c>
      <c r="F1" s="3" t="s">
        <v>133</v>
      </c>
      <c r="G1" s="3" t="s">
        <v>134</v>
      </c>
      <c r="H1" s="42" t="s">
        <v>59</v>
      </c>
      <c r="I1" s="5" t="s">
        <v>229</v>
      </c>
      <c r="J1" s="4" t="s">
        <v>230</v>
      </c>
      <c r="K1" s="4" t="s">
        <v>231</v>
      </c>
      <c r="L1" s="38" t="s">
        <v>219</v>
      </c>
      <c r="N1" s="7" t="s">
        <v>72</v>
      </c>
      <c r="O1" s="27" t="s">
        <v>73</v>
      </c>
    </row>
    <row r="2" spans="1:15" ht="29.45" customHeight="1">
      <c r="A2" s="24">
        <v>1</v>
      </c>
      <c r="B2" s="8" t="s">
        <v>2</v>
      </c>
      <c r="C2" s="45" t="s">
        <v>135</v>
      </c>
      <c r="D2" s="9"/>
      <c r="E2" s="49" t="s">
        <v>56</v>
      </c>
      <c r="F2" s="9" t="s">
        <v>69</v>
      </c>
      <c r="G2" s="32" t="s">
        <v>129</v>
      </c>
      <c r="H2" s="39" t="str">
        <f t="shared" ref="H2:H13" si="0">F2&amp;" as '"&amp;B2&amp;"',"</f>
        <v>identifiers_opensrp_id as 'VPTID/VR ID ',</v>
      </c>
      <c r="I2" s="8"/>
      <c r="J2" s="9"/>
      <c r="K2" s="9"/>
      <c r="L2" s="39"/>
      <c r="N2" s="11"/>
      <c r="O2" s="8" t="s">
        <v>214</v>
      </c>
    </row>
    <row r="3" spans="1:15" ht="29.45" customHeight="1">
      <c r="A3" s="25" t="s">
        <v>116</v>
      </c>
      <c r="B3" s="36" t="s">
        <v>115</v>
      </c>
      <c r="C3" s="45" t="s">
        <v>135</v>
      </c>
      <c r="D3" s="33"/>
      <c r="E3" s="49" t="s">
        <v>56</v>
      </c>
      <c r="F3" s="9" t="s">
        <v>235</v>
      </c>
      <c r="G3" s="32" t="s">
        <v>129</v>
      </c>
      <c r="H3" s="39" t="str">
        <f t="shared" si="0"/>
        <v>concat(site_code,'-',site_name) as 'Site',</v>
      </c>
      <c r="I3" s="8"/>
      <c r="J3" s="9"/>
      <c r="K3" s="9"/>
      <c r="L3" s="39"/>
      <c r="N3" s="12"/>
      <c r="O3" s="8" t="s">
        <v>111</v>
      </c>
    </row>
    <row r="4" spans="1:15" ht="29.45" customHeight="1">
      <c r="A4" s="25" t="s">
        <v>117</v>
      </c>
      <c r="B4" s="36" t="s">
        <v>244</v>
      </c>
      <c r="C4" s="45" t="s">
        <v>135</v>
      </c>
      <c r="D4" s="9"/>
      <c r="E4" s="49" t="s">
        <v>114</v>
      </c>
      <c r="F4" s="8" t="s">
        <v>236</v>
      </c>
      <c r="G4" s="36" t="s">
        <v>129</v>
      </c>
      <c r="H4" s="39" t="str">
        <f t="shared" si="0"/>
        <v>concat(coalesce(mohalla_code,para_code),'-',block_code,'-',structure_code) as 'Address (ParaCode-Block-Struct OR MohallaCode-StructCode)',</v>
      </c>
      <c r="I4" s="8"/>
      <c r="J4" s="9"/>
      <c r="K4" s="9"/>
      <c r="L4" s="39"/>
      <c r="N4" s="13"/>
      <c r="O4" s="8" t="s">
        <v>227</v>
      </c>
    </row>
    <row r="5" spans="1:15" ht="29.45" customHeight="1">
      <c r="A5" s="25" t="s">
        <v>118</v>
      </c>
      <c r="B5" s="36" t="s">
        <v>245</v>
      </c>
      <c r="C5" s="45" t="s">
        <v>135</v>
      </c>
      <c r="D5" s="33"/>
      <c r="E5" s="49" t="s">
        <v>114</v>
      </c>
      <c r="F5" s="9" t="s">
        <v>246</v>
      </c>
      <c r="G5" s="32" t="s">
        <v>129</v>
      </c>
      <c r="H5" s="39" t="str">
        <f t="shared" si="0"/>
        <v>concat(coalesce(mohalla_name,para_name),'-',block_code,'-',structure_name) as 'Address (ParaName-Block-Struct OR MohallaName-StructCode)',</v>
      </c>
      <c r="I5" s="8"/>
      <c r="J5" s="9"/>
      <c r="K5" s="9"/>
      <c r="L5" s="39"/>
      <c r="N5" s="44"/>
      <c r="O5" s="8" t="s">
        <v>228</v>
      </c>
    </row>
    <row r="6" spans="1:15" ht="29.45" customHeight="1">
      <c r="A6" s="26" t="s">
        <v>239</v>
      </c>
      <c r="B6" s="8" t="s">
        <v>95</v>
      </c>
      <c r="C6" s="45" t="s">
        <v>135</v>
      </c>
      <c r="D6" s="9"/>
      <c r="E6" s="49" t="s">
        <v>56</v>
      </c>
      <c r="F6" s="9" t="s">
        <v>101</v>
      </c>
      <c r="G6" s="32" t="s">
        <v>130</v>
      </c>
      <c r="H6" s="39" t="str">
        <f t="shared" si="0"/>
        <v>current_pregnancy_id_reason as 'Pregnancy ID',</v>
      </c>
      <c r="I6" s="8"/>
      <c r="J6" s="9"/>
      <c r="K6" s="9"/>
      <c r="L6" s="39"/>
    </row>
    <row r="7" spans="1:15" ht="29.45" customHeight="1">
      <c r="A7" s="26" t="s">
        <v>240</v>
      </c>
      <c r="B7" s="8" t="s">
        <v>232</v>
      </c>
      <c r="C7" s="45" t="s">
        <v>135</v>
      </c>
      <c r="D7" s="9"/>
      <c r="E7" s="49" t="s">
        <v>56</v>
      </c>
      <c r="F7" s="51" t="s">
        <v>243</v>
      </c>
      <c r="G7" s="32" t="s">
        <v>129</v>
      </c>
      <c r="H7" s="39" t="str">
        <f t="shared" si="0"/>
        <v>(year(cast(ultrasound.version as date))-year(birthdate)) as 'Women Age',</v>
      </c>
      <c r="I7" s="8"/>
      <c r="J7" s="9"/>
      <c r="K7" s="9"/>
      <c r="L7" s="39"/>
    </row>
    <row r="8" spans="1:15" ht="29.45" customHeight="1">
      <c r="A8" s="26" t="s">
        <v>241</v>
      </c>
      <c r="B8" s="8" t="s">
        <v>233</v>
      </c>
      <c r="C8" s="45" t="s">
        <v>135</v>
      </c>
      <c r="D8" s="9"/>
      <c r="E8" s="49" t="s">
        <v>56</v>
      </c>
      <c r="F8" s="9" t="s">
        <v>237</v>
      </c>
      <c r="G8" s="32" t="s">
        <v>129</v>
      </c>
      <c r="H8" s="39" t="str">
        <f t="shared" si="0"/>
        <v>attributes_women_ethnicity as 'Ethnicity',</v>
      </c>
      <c r="I8" s="8"/>
      <c r="J8" s="9"/>
      <c r="K8" s="9"/>
      <c r="L8" s="39"/>
    </row>
    <row r="9" spans="1:15" ht="29.45" customHeight="1">
      <c r="A9" s="26" t="s">
        <v>242</v>
      </c>
      <c r="B9" s="8" t="s">
        <v>234</v>
      </c>
      <c r="C9" s="45" t="s">
        <v>135</v>
      </c>
      <c r="D9" s="9"/>
      <c r="E9" s="49" t="s">
        <v>56</v>
      </c>
      <c r="F9" s="9" t="s">
        <v>238</v>
      </c>
      <c r="G9" s="32" t="s">
        <v>129</v>
      </c>
      <c r="H9" s="39" t="str">
        <f t="shared" si="0"/>
        <v>attributes_primary_phone_number as 'Phone No',</v>
      </c>
      <c r="I9" s="8"/>
      <c r="J9" s="9"/>
      <c r="K9" s="9"/>
      <c r="L9" s="39"/>
    </row>
    <row r="10" spans="1:15" ht="29.45" customHeight="1">
      <c r="A10" s="26" t="s">
        <v>97</v>
      </c>
      <c r="B10" s="8" t="s">
        <v>92</v>
      </c>
      <c r="C10" s="45" t="s">
        <v>135</v>
      </c>
      <c r="D10" s="9"/>
      <c r="E10" s="49" t="s">
        <v>56</v>
      </c>
      <c r="F10" s="9" t="s">
        <v>122</v>
      </c>
      <c r="G10" s="32" t="s">
        <v>130</v>
      </c>
      <c r="H10" s="39" t="str">
        <f t="shared" si="0"/>
        <v>cast(ultrasound.version as date) as 'Date of Ultrasound',</v>
      </c>
      <c r="I10" s="8"/>
      <c r="J10" s="9"/>
      <c r="K10" s="9"/>
      <c r="L10" s="39"/>
    </row>
    <row r="11" spans="1:15" ht="29.45" customHeight="1">
      <c r="A11" s="26" t="s">
        <v>98</v>
      </c>
      <c r="B11" s="8" t="s">
        <v>103</v>
      </c>
      <c r="C11" s="45" t="s">
        <v>135</v>
      </c>
      <c r="D11" s="9"/>
      <c r="E11" s="49" t="s">
        <v>56</v>
      </c>
      <c r="F11" s="9" t="s">
        <v>123</v>
      </c>
      <c r="G11" s="32" t="s">
        <v>130</v>
      </c>
      <c r="H11" s="39" t="str">
        <f t="shared" si="0"/>
        <v>left(cast(ultrasound.version as time),5) as 'Time of Ultrasound',</v>
      </c>
      <c r="I11" s="8"/>
      <c r="J11" s="9"/>
      <c r="K11" s="9"/>
      <c r="L11" s="39"/>
      <c r="N11" s="14"/>
      <c r="O11" s="23"/>
    </row>
    <row r="12" spans="1:15" ht="29.45" customHeight="1">
      <c r="A12" s="26" t="s">
        <v>99</v>
      </c>
      <c r="B12" s="8" t="s">
        <v>93</v>
      </c>
      <c r="C12" s="45" t="s">
        <v>225</v>
      </c>
      <c r="D12" s="9"/>
      <c r="E12" s="49" t="s">
        <v>96</v>
      </c>
      <c r="F12" s="9" t="s">
        <v>124</v>
      </c>
      <c r="G12" s="32" t="s">
        <v>130</v>
      </c>
      <c r="H12" s="39" t="str">
        <f t="shared" si="0"/>
        <v>dense_rank() over (partition by current_pregnancy_id_reason order by cast(version as date)) as 'Visit Number',</v>
      </c>
      <c r="I12" s="8"/>
      <c r="J12" s="9"/>
      <c r="K12" s="9"/>
      <c r="L12" s="39"/>
      <c r="N12" s="14"/>
      <c r="O12" s="23"/>
    </row>
    <row r="13" spans="1:15" ht="45">
      <c r="A13" s="24">
        <v>2.1</v>
      </c>
      <c r="B13" s="8" t="s">
        <v>3</v>
      </c>
      <c r="C13" s="45" t="s">
        <v>225</v>
      </c>
      <c r="D13" s="8" t="s">
        <v>4</v>
      </c>
      <c r="E13" s="49" t="s">
        <v>96</v>
      </c>
      <c r="F13" s="9" t="s">
        <v>125</v>
      </c>
      <c r="G13" s="32" t="s">
        <v>130</v>
      </c>
      <c r="H13" s="39" t="str">
        <f t="shared" si="0"/>
        <v>(case when dense_rank() over (partition by current_pregnancy_id_reason order by cast(version as date))=1 then 'yes' else 'no' end) as 'Is this the woman’s first ultrasound ',</v>
      </c>
      <c r="I13" s="8"/>
      <c r="J13" s="9"/>
      <c r="K13" s="9"/>
      <c r="L13" s="39"/>
    </row>
    <row r="14" spans="1:15" ht="45">
      <c r="A14" s="24">
        <v>2.2000000000000002</v>
      </c>
      <c r="B14" s="8" t="s">
        <v>5</v>
      </c>
      <c r="C14" s="45" t="s">
        <v>135</v>
      </c>
      <c r="D14" s="8" t="s">
        <v>6</v>
      </c>
      <c r="E14" s="49" t="s">
        <v>56</v>
      </c>
      <c r="F14" s="9" t="s">
        <v>57</v>
      </c>
      <c r="G14" s="32" t="s">
        <v>130</v>
      </c>
      <c r="H14" s="39" t="str">
        <f t="shared" ref="H14:H56" si="1">F14&amp;" as '"&amp;B14&amp;"',"</f>
        <v>pregnancy_localization_reason as 'Specify localization of pregnancy/Localization of Pregnancy ',</v>
      </c>
      <c r="I14" s="8"/>
      <c r="J14" s="9"/>
      <c r="K14" s="9"/>
      <c r="L14" s="39"/>
    </row>
    <row r="15" spans="1:15" ht="150">
      <c r="A15" s="24">
        <v>2.2999999999999998</v>
      </c>
      <c r="B15" s="8" t="s">
        <v>7</v>
      </c>
      <c r="C15" s="45" t="s">
        <v>135</v>
      </c>
      <c r="D15" s="8" t="s">
        <v>11</v>
      </c>
      <c r="E15" s="49" t="s">
        <v>56</v>
      </c>
      <c r="F15" s="9" t="s">
        <v>121</v>
      </c>
      <c r="G15" s="32" t="s">
        <v>130</v>
      </c>
      <c r="H15" s="39" t="str">
        <f>F15&amp;" as '"&amp;B15&amp;"',"</f>
        <v>ultrasound_reasons as 'Reason for ultrasound ',</v>
      </c>
      <c r="I15" s="8"/>
      <c r="J15" s="9"/>
      <c r="K15" s="9"/>
      <c r="L15" s="39"/>
    </row>
    <row r="16" spans="1:15" ht="45">
      <c r="A16" s="24">
        <v>2.4</v>
      </c>
      <c r="B16" s="8" t="s">
        <v>8</v>
      </c>
      <c r="C16" s="45" t="s">
        <v>135</v>
      </c>
      <c r="D16" s="8" t="s">
        <v>120</v>
      </c>
      <c r="E16" s="49" t="s">
        <v>56</v>
      </c>
      <c r="F16" s="9" t="s">
        <v>119</v>
      </c>
      <c r="G16" s="32" t="s">
        <v>130</v>
      </c>
      <c r="H16" s="39" t="str">
        <f>F16&amp;" as '"&amp;B16&amp;"',"</f>
        <v>(case when ultrasound_obtained_reason='true' then 'yes' when ultrasound_obtained_reason='false' then 'no' else null end) as 'Can ultrasound measurements be obtained at this time ',</v>
      </c>
      <c r="I16" s="8"/>
      <c r="J16" s="9"/>
      <c r="K16" s="9"/>
      <c r="L16" s="39"/>
    </row>
    <row r="17" spans="1:15" ht="45">
      <c r="A17" s="24">
        <v>2.5</v>
      </c>
      <c r="B17" s="8" t="s">
        <v>9</v>
      </c>
      <c r="C17" s="45" t="s">
        <v>135</v>
      </c>
      <c r="D17" s="8" t="s">
        <v>33</v>
      </c>
      <c r="E17" s="49" t="s">
        <v>56</v>
      </c>
      <c r="F17" s="9" t="s">
        <v>58</v>
      </c>
      <c r="G17" s="32" t="s">
        <v>130</v>
      </c>
      <c r="H17" s="39" t="str">
        <f>F17&amp;" as '"&amp;B17&amp;"',"</f>
        <v>reason_ultrasound_not_obtained_reason as 'Please specify reason that ultrasound cannot be obtained ',</v>
      </c>
      <c r="I17" s="8"/>
      <c r="J17" s="9"/>
      <c r="K17" s="9"/>
      <c r="L17" s="39"/>
    </row>
    <row r="18" spans="1:15" ht="45">
      <c r="A18" s="24">
        <v>7</v>
      </c>
      <c r="B18" s="8" t="s">
        <v>128</v>
      </c>
      <c r="C18" s="45" t="s">
        <v>225</v>
      </c>
      <c r="D18" s="9"/>
      <c r="E18" s="49" t="s">
        <v>96</v>
      </c>
      <c r="F18" s="9" t="s">
        <v>127</v>
      </c>
      <c r="G18" s="32" t="s">
        <v>130</v>
      </c>
      <c r="H18" s="39" t="str">
        <f>F18&amp;" as '"&amp;B18&amp;"',"</f>
        <v>count(cast(version as date)) over (partition by current_pregnancy_id_reason,cast(version as date) order by cast(version as date)) as 'Count of Fetuses',</v>
      </c>
      <c r="I18" s="8"/>
      <c r="J18" s="9"/>
      <c r="K18" s="9"/>
      <c r="L18" s="39"/>
    </row>
    <row r="19" spans="1:15" ht="29.45" customHeight="1">
      <c r="A19" s="26" t="s">
        <v>100</v>
      </c>
      <c r="B19" s="8" t="s">
        <v>94</v>
      </c>
      <c r="C19" s="45" t="s">
        <v>225</v>
      </c>
      <c r="D19" s="9"/>
      <c r="E19" s="49" t="s">
        <v>96</v>
      </c>
      <c r="F19" s="9" t="s">
        <v>126</v>
      </c>
      <c r="G19" s="32" t="s">
        <v>130</v>
      </c>
      <c r="H19" s="39" t="str">
        <f>F19&amp;" as '"&amp;B19&amp;"',"</f>
        <v>ROW_NUMBER() over (partition by current_pregnancy_id_reason,cast(version as date) order by cast(version as date),crownrumplength,headcircumference,fetalheartrate) as 'Fetus Number',</v>
      </c>
      <c r="I19" s="8"/>
      <c r="J19" s="9"/>
      <c r="K19" s="9"/>
      <c r="L19" s="39"/>
      <c r="N19" s="14"/>
      <c r="O19" s="23"/>
    </row>
    <row r="20" spans="1:15" ht="30">
      <c r="A20" s="24" t="s">
        <v>167</v>
      </c>
      <c r="B20" s="8" t="s">
        <v>76</v>
      </c>
      <c r="C20" s="45" t="s">
        <v>135</v>
      </c>
      <c r="D20" s="8" t="s">
        <v>74</v>
      </c>
      <c r="E20" s="49" t="s">
        <v>54</v>
      </c>
      <c r="F20" s="21" t="s">
        <v>36</v>
      </c>
      <c r="G20" s="32" t="s">
        <v>130</v>
      </c>
      <c r="H20" s="39" t="str">
        <f>F20 &amp; " as 'Crown-rump Length(CRL) " &amp; D20 &amp; "',"</f>
        <v>crownRumplength1 as 'Crown-rump Length(CRL) a. CRL measurement 1 (IN MILLIMETERS)',</v>
      </c>
      <c r="I20" s="8" t="s">
        <v>138</v>
      </c>
      <c r="J20" s="8" t="s">
        <v>139</v>
      </c>
      <c r="K20" s="9"/>
      <c r="L20" s="39"/>
    </row>
    <row r="21" spans="1:15" ht="30">
      <c r="A21" s="29" t="s">
        <v>168</v>
      </c>
      <c r="B21" s="8"/>
      <c r="C21" s="45" t="s">
        <v>135</v>
      </c>
      <c r="D21" s="8" t="s">
        <v>75</v>
      </c>
      <c r="E21" s="49" t="s">
        <v>54</v>
      </c>
      <c r="F21" s="21" t="s">
        <v>37</v>
      </c>
      <c r="G21" s="32" t="s">
        <v>130</v>
      </c>
      <c r="H21" s="39" t="str">
        <f>F21 &amp; " as 'Crown-rump Length(CRL) " &amp; D21 &amp; "',"</f>
        <v>crownRumplength2 as 'Crown-rump Length(CRL) b. CRL measurement 2 (IN MILLIMETERS)',</v>
      </c>
      <c r="I21" s="8" t="s">
        <v>138</v>
      </c>
      <c r="J21" s="8" t="s">
        <v>139</v>
      </c>
      <c r="K21" s="9"/>
      <c r="L21" s="39"/>
    </row>
    <row r="22" spans="1:15" ht="30">
      <c r="A22" s="29" t="s">
        <v>169</v>
      </c>
      <c r="B22" s="8"/>
      <c r="C22" s="45" t="s">
        <v>135</v>
      </c>
      <c r="D22" s="9" t="s">
        <v>77</v>
      </c>
      <c r="E22" s="49" t="s">
        <v>54</v>
      </c>
      <c r="F22" s="21" t="s">
        <v>38</v>
      </c>
      <c r="G22" s="32" t="s">
        <v>131</v>
      </c>
      <c r="H22" s="39" t="str">
        <f>F22 &amp; " as 'Crown-rump Length(CRL) " &amp; D22 &amp; "',"</f>
        <v>crownRumplength as 'Crown-rump Length(CRL) c. (Auto calculate) Final CRL (mean of measurement 1 and 2)',</v>
      </c>
      <c r="I22" s="8"/>
      <c r="J22" s="9"/>
      <c r="K22" s="9"/>
      <c r="L22" s="39"/>
    </row>
    <row r="23" spans="1:15">
      <c r="A23" s="24">
        <v>2.8</v>
      </c>
      <c r="B23" s="8" t="s">
        <v>70</v>
      </c>
      <c r="C23" s="45" t="s">
        <v>135</v>
      </c>
      <c r="D23" s="9"/>
      <c r="E23" s="49" t="s">
        <v>54</v>
      </c>
      <c r="F23" s="21" t="s">
        <v>39</v>
      </c>
      <c r="G23" s="32" t="s">
        <v>131</v>
      </c>
      <c r="H23" s="39" t="str">
        <f>F23&amp;" as '"&amp;B23&amp;"',"</f>
        <v>gestationalWeeks as 'Gestational weeks',</v>
      </c>
      <c r="I23" s="8"/>
      <c r="J23" s="9"/>
      <c r="K23" s="9"/>
      <c r="L23" s="39"/>
    </row>
    <row r="24" spans="1:15">
      <c r="A24" s="24">
        <v>2.9</v>
      </c>
      <c r="B24" s="30" t="s">
        <v>71</v>
      </c>
      <c r="C24" s="45" t="s">
        <v>135</v>
      </c>
      <c r="D24" s="9"/>
      <c r="E24" s="49" t="s">
        <v>54</v>
      </c>
      <c r="F24" s="21" t="s">
        <v>40</v>
      </c>
      <c r="G24" s="32" t="s">
        <v>131</v>
      </c>
      <c r="H24" s="39" t="str">
        <f>F24&amp;" as '"&amp;B24&amp;"',"</f>
        <v>gestationalDays as 'Gestational days ',</v>
      </c>
      <c r="I24" s="8"/>
      <c r="J24" s="9"/>
      <c r="K24" s="9"/>
      <c r="L24" s="39"/>
    </row>
    <row r="25" spans="1:15" ht="30">
      <c r="A25" s="29" t="s">
        <v>170</v>
      </c>
      <c r="B25" s="8" t="s">
        <v>10</v>
      </c>
      <c r="C25" s="46" t="s">
        <v>136</v>
      </c>
      <c r="D25" s="8" t="s">
        <v>78</v>
      </c>
      <c r="E25" s="49" t="s">
        <v>54</v>
      </c>
      <c r="F25" s="21" t="s">
        <v>60</v>
      </c>
      <c r="G25" s="32" t="s">
        <v>131</v>
      </c>
      <c r="H25" s="39" t="str">
        <f>F25&amp;" as 'Biparietal Diameter (BPD)"&amp;D25&amp;"',"</f>
        <v>biparetaldiameter1 as 'Biparietal Diameter (BPD)a.  BPD measurement 1 (IN CENTIMETERS)',</v>
      </c>
      <c r="I25" s="8" t="s">
        <v>140</v>
      </c>
      <c r="J25" s="8" t="s">
        <v>141</v>
      </c>
      <c r="K25" s="15" t="s">
        <v>156</v>
      </c>
      <c r="L25" s="39"/>
    </row>
    <row r="26" spans="1:15" ht="30">
      <c r="A26" s="29" t="s">
        <v>171</v>
      </c>
      <c r="B26" s="8"/>
      <c r="C26" s="46" t="s">
        <v>136</v>
      </c>
      <c r="D26" s="8" t="s">
        <v>79</v>
      </c>
      <c r="E26" s="49" t="s">
        <v>54</v>
      </c>
      <c r="F26" s="21" t="s">
        <v>61</v>
      </c>
      <c r="G26" s="32" t="s">
        <v>131</v>
      </c>
      <c r="H26" s="39" t="str">
        <f>F26&amp;" as 'Biparietal Diameter (BPD)"&amp;D26&amp;"',"</f>
        <v>biparetaldiameter2 as 'Biparietal Diameter (BPD)b. BPD measurement 2 (IN CENTIMETERS)',</v>
      </c>
      <c r="I26" s="8" t="s">
        <v>140</v>
      </c>
      <c r="J26" s="8" t="s">
        <v>141</v>
      </c>
      <c r="K26" s="15" t="s">
        <v>156</v>
      </c>
      <c r="L26" s="39"/>
    </row>
    <row r="27" spans="1:15" ht="30">
      <c r="A27" s="29" t="s">
        <v>172</v>
      </c>
      <c r="B27" s="8"/>
      <c r="C27" s="45" t="s">
        <v>135</v>
      </c>
      <c r="D27" s="8" t="s">
        <v>80</v>
      </c>
      <c r="E27" s="49" t="s">
        <v>54</v>
      </c>
      <c r="F27" s="21" t="s">
        <v>41</v>
      </c>
      <c r="G27" s="32" t="s">
        <v>131</v>
      </c>
      <c r="H27" s="39" t="str">
        <f>F27&amp;" as 'Biparietal Diameter (BPD)"&amp;D27&amp;"',"</f>
        <v>biparetalDiameter as 'Biparietal Diameter (BPD)c. (Auto calculate) Final BPD (mean of measurement 1 and 2)',</v>
      </c>
      <c r="I27" s="8" t="s">
        <v>201</v>
      </c>
      <c r="J27" s="9" t="s">
        <v>202</v>
      </c>
      <c r="K27" s="15" t="s">
        <v>165</v>
      </c>
      <c r="L27" s="39"/>
    </row>
    <row r="28" spans="1:15" ht="30">
      <c r="A28" s="29" t="s">
        <v>173</v>
      </c>
      <c r="B28" s="8" t="s">
        <v>12</v>
      </c>
      <c r="C28" s="46" t="s">
        <v>136</v>
      </c>
      <c r="D28" s="8" t="s">
        <v>81</v>
      </c>
      <c r="E28" s="49" t="s">
        <v>54</v>
      </c>
      <c r="F28" s="9" t="s">
        <v>62</v>
      </c>
      <c r="G28" s="32" t="s">
        <v>131</v>
      </c>
      <c r="H28" s="39" t="str">
        <f>F28&amp;" as 'Head Circumference(HC)"&amp;D28&amp;"',"</f>
        <v>headcircumference1 as 'Head Circumference(HC)a. HC measurement 1 (IN CENTIMETERS) ',</v>
      </c>
      <c r="I28" s="8" t="s">
        <v>143</v>
      </c>
      <c r="J28" s="8" t="s">
        <v>142</v>
      </c>
      <c r="K28" s="15" t="s">
        <v>156</v>
      </c>
      <c r="L28" s="39"/>
    </row>
    <row r="29" spans="1:15" ht="30">
      <c r="A29" s="29" t="s">
        <v>174</v>
      </c>
      <c r="B29" s="8"/>
      <c r="C29" s="46" t="s">
        <v>136</v>
      </c>
      <c r="D29" s="8" t="s">
        <v>82</v>
      </c>
      <c r="E29" s="49" t="s">
        <v>54</v>
      </c>
      <c r="F29" s="21" t="s">
        <v>63</v>
      </c>
      <c r="G29" s="32" t="s">
        <v>131</v>
      </c>
      <c r="H29" s="39" t="str">
        <f>F29&amp;" as 'Head Circumference(HC)"&amp;D29&amp;"',"</f>
        <v>headcircumference2 as 'Head Circumference(HC)b. HC measurement 2 (IN CENTIMETERS)',</v>
      </c>
      <c r="I29" s="8" t="s">
        <v>143</v>
      </c>
      <c r="J29" s="8" t="s">
        <v>142</v>
      </c>
      <c r="K29" s="15" t="s">
        <v>156</v>
      </c>
      <c r="L29" s="39"/>
    </row>
    <row r="30" spans="1:15" ht="30">
      <c r="A30" s="29" t="s">
        <v>175</v>
      </c>
      <c r="B30" s="8"/>
      <c r="C30" s="45" t="s">
        <v>135</v>
      </c>
      <c r="D30" s="9" t="s">
        <v>83</v>
      </c>
      <c r="E30" s="49" t="s">
        <v>54</v>
      </c>
      <c r="F30" s="21" t="s">
        <v>42</v>
      </c>
      <c r="G30" s="32" t="s">
        <v>131</v>
      </c>
      <c r="H30" s="39" t="str">
        <f>F30&amp;" as 'Head Circumference(HC)"&amp;D30&amp;"',"</f>
        <v>headCircumference as 'Head Circumference(HC)c. (Auto calculate) Final HC (mean of measurement 1 and 2)',</v>
      </c>
      <c r="I30" s="16" t="s">
        <v>203</v>
      </c>
      <c r="J30" s="9" t="s">
        <v>204</v>
      </c>
      <c r="K30" s="15" t="s">
        <v>156</v>
      </c>
      <c r="L30" s="39"/>
    </row>
    <row r="31" spans="1:15" ht="30">
      <c r="A31" s="29" t="s">
        <v>176</v>
      </c>
      <c r="B31" s="8" t="s">
        <v>13</v>
      </c>
      <c r="C31" s="46" t="s">
        <v>136</v>
      </c>
      <c r="D31" s="8" t="s">
        <v>84</v>
      </c>
      <c r="E31" s="49" t="s">
        <v>54</v>
      </c>
      <c r="F31" s="9" t="s">
        <v>64</v>
      </c>
      <c r="G31" s="32" t="s">
        <v>131</v>
      </c>
      <c r="H31" s="39" t="str">
        <f>F31&amp;" as 'Abdominal Circumference(AC)"&amp;D31&amp;"',"</f>
        <v>abdominalcircumference1 as 'Abdominal Circumference(AC)AC measurement 1 (IN CENTIMETERS)',</v>
      </c>
      <c r="I31" s="8" t="s">
        <v>144</v>
      </c>
      <c r="J31" s="8" t="s">
        <v>145</v>
      </c>
      <c r="K31" s="15" t="s">
        <v>156</v>
      </c>
      <c r="L31" s="39"/>
    </row>
    <row r="32" spans="1:15" ht="30">
      <c r="A32" s="29" t="s">
        <v>177</v>
      </c>
      <c r="B32" s="8"/>
      <c r="C32" s="46" t="s">
        <v>136</v>
      </c>
      <c r="D32" s="8" t="s">
        <v>85</v>
      </c>
      <c r="E32" s="49" t="s">
        <v>54</v>
      </c>
      <c r="F32" s="9" t="s">
        <v>65</v>
      </c>
      <c r="G32" s="32" t="s">
        <v>131</v>
      </c>
      <c r="H32" s="39" t="str">
        <f t="shared" ref="H32:H33" si="2">F32&amp;" as 'Abdominal Circumference(AC)"&amp;D32&amp;"',"</f>
        <v>abdominalcircumference2 as 'Abdominal Circumference(AC)AC measurement 2 (IN CENTIMETERS)',</v>
      </c>
      <c r="I32" s="8" t="s">
        <v>144</v>
      </c>
      <c r="J32" s="8" t="s">
        <v>145</v>
      </c>
      <c r="K32" s="15" t="s">
        <v>156</v>
      </c>
      <c r="L32" s="39"/>
    </row>
    <row r="33" spans="1:12" ht="30">
      <c r="A33" s="29" t="s">
        <v>178</v>
      </c>
      <c r="B33" s="8"/>
      <c r="C33" s="45" t="s">
        <v>135</v>
      </c>
      <c r="D33" s="8" t="s">
        <v>66</v>
      </c>
      <c r="E33" s="49" t="s">
        <v>54</v>
      </c>
      <c r="F33" s="9" t="s">
        <v>43</v>
      </c>
      <c r="G33" s="32" t="s">
        <v>131</v>
      </c>
      <c r="H33" s="39" t="str">
        <f t="shared" si="2"/>
        <v>abdominalCircumference as 'Abdominal Circumference(AC)(Auto calculate) Final AC (mean of measurement 1 and 2)',</v>
      </c>
      <c r="I33" s="16" t="s">
        <v>205</v>
      </c>
      <c r="J33" s="9" t="s">
        <v>206</v>
      </c>
      <c r="K33" s="15" t="s">
        <v>156</v>
      </c>
      <c r="L33" s="39"/>
    </row>
    <row r="34" spans="1:12" ht="30">
      <c r="A34" s="29" t="s">
        <v>179</v>
      </c>
      <c r="B34" s="8" t="s">
        <v>14</v>
      </c>
      <c r="C34" s="46" t="s">
        <v>136</v>
      </c>
      <c r="D34" s="34" t="s">
        <v>86</v>
      </c>
      <c r="E34" s="49" t="s">
        <v>54</v>
      </c>
      <c r="F34" s="9" t="s">
        <v>67</v>
      </c>
      <c r="G34" s="32" t="s">
        <v>131</v>
      </c>
      <c r="H34" s="39" t="str">
        <f>F34&amp;" as 'Femur Length(FL)"&amp;D34&amp;"',"</f>
        <v>femurlength1 as 'Femur Length(FL)a. FL measurement 1 (IN CENTIMETERS)',</v>
      </c>
      <c r="I34" s="8" t="s">
        <v>146</v>
      </c>
      <c r="J34" s="8" t="s">
        <v>147</v>
      </c>
      <c r="K34" s="15" t="s">
        <v>156</v>
      </c>
      <c r="L34" s="39"/>
    </row>
    <row r="35" spans="1:12" ht="30">
      <c r="A35" s="29" t="s">
        <v>179</v>
      </c>
      <c r="B35" s="8"/>
      <c r="C35" s="46" t="s">
        <v>136</v>
      </c>
      <c r="D35" s="8" t="s">
        <v>87</v>
      </c>
      <c r="E35" s="49" t="s">
        <v>54</v>
      </c>
      <c r="F35" s="21" t="s">
        <v>68</v>
      </c>
      <c r="G35" s="32" t="s">
        <v>131</v>
      </c>
      <c r="H35" s="39" t="str">
        <f>F35&amp;" as 'Femur Length(FL)"&amp;D35&amp;"',"</f>
        <v>femurlength2 as 'Femur Length(FL)b. FL measurement 2 (IN CENTIMETERS)',</v>
      </c>
      <c r="I35" s="8" t="s">
        <v>146</v>
      </c>
      <c r="J35" s="8" t="s">
        <v>147</v>
      </c>
      <c r="K35" s="15" t="s">
        <v>156</v>
      </c>
      <c r="L35" s="39"/>
    </row>
    <row r="36" spans="1:12" ht="30">
      <c r="A36" s="29" t="s">
        <v>179</v>
      </c>
      <c r="B36" s="8"/>
      <c r="C36" s="45" t="s">
        <v>135</v>
      </c>
      <c r="D36" s="9" t="s">
        <v>88</v>
      </c>
      <c r="E36" s="49" t="s">
        <v>54</v>
      </c>
      <c r="F36" s="21" t="s">
        <v>44</v>
      </c>
      <c r="G36" s="32" t="s">
        <v>131</v>
      </c>
      <c r="H36" s="39" t="str">
        <f>F36&amp;" as 'Femur Length(FL)"&amp;D36&amp;"',"</f>
        <v>femurLength as 'Femur Length(FL)c. (Auto calculate) Final FL (mean of measurement 1 and 2) ',</v>
      </c>
      <c r="I36" s="8" t="s">
        <v>207</v>
      </c>
      <c r="J36" s="9" t="s">
        <v>208</v>
      </c>
      <c r="K36" s="15" t="s">
        <v>156</v>
      </c>
      <c r="L36" s="39"/>
    </row>
    <row r="37" spans="1:12" ht="135">
      <c r="A37" s="29" t="s">
        <v>180</v>
      </c>
      <c r="B37" s="8" t="s">
        <v>15</v>
      </c>
      <c r="C37" s="45" t="s">
        <v>135</v>
      </c>
      <c r="D37" s="8" t="s">
        <v>89</v>
      </c>
      <c r="E37" s="49" t="s">
        <v>35</v>
      </c>
      <c r="F37" s="21" t="s">
        <v>247</v>
      </c>
      <c r="G37" s="32" t="s">
        <v>131</v>
      </c>
      <c r="H37" s="39" t="str">
        <f>F37&amp;" as 'Tanscerebellar diameter(TCD)"&amp;D37&amp;"',"</f>
        <v>transcerebellarDiameter1_GA as 'Tanscerebellar diameter(TCD)a. TCD measurement 1 (IN MILLIMETERS)',</v>
      </c>
      <c r="I37" s="8" t="s">
        <v>148</v>
      </c>
      <c r="J37" s="8" t="s">
        <v>149</v>
      </c>
      <c r="K37" s="9" t="s">
        <v>250</v>
      </c>
      <c r="L37" s="39" t="s">
        <v>224</v>
      </c>
    </row>
    <row r="38" spans="1:12" ht="135">
      <c r="A38" s="29" t="s">
        <v>181</v>
      </c>
      <c r="B38" s="8"/>
      <c r="C38" s="45" t="s">
        <v>135</v>
      </c>
      <c r="D38" s="8" t="s">
        <v>90</v>
      </c>
      <c r="E38" s="49" t="s">
        <v>35</v>
      </c>
      <c r="F38" s="21" t="s">
        <v>248</v>
      </c>
      <c r="G38" s="32" t="s">
        <v>131</v>
      </c>
      <c r="H38" s="39" t="str">
        <f t="shared" ref="H38:H39" si="3">F38&amp;" as 'Tanscerebellar diameter(TCD)"&amp;D38&amp;"',"</f>
        <v>transcerebellarDiameter2_GA as 'Tanscerebellar diameter(TCD)b. TCD measurement 2 (IN MILLIMETERS)',</v>
      </c>
      <c r="I38" s="8" t="s">
        <v>148</v>
      </c>
      <c r="J38" s="8" t="s">
        <v>149</v>
      </c>
      <c r="K38" s="9" t="s">
        <v>250</v>
      </c>
      <c r="L38" s="39" t="s">
        <v>224</v>
      </c>
    </row>
    <row r="39" spans="1:12" ht="135">
      <c r="A39" s="29" t="s">
        <v>182</v>
      </c>
      <c r="B39" s="8"/>
      <c r="C39" s="45" t="s">
        <v>135</v>
      </c>
      <c r="D39" s="8" t="s">
        <v>91</v>
      </c>
      <c r="E39" s="49" t="s">
        <v>35</v>
      </c>
      <c r="F39" s="21" t="s">
        <v>249</v>
      </c>
      <c r="G39" s="32" t="s">
        <v>131</v>
      </c>
      <c r="H39" s="39" t="str">
        <f t="shared" si="3"/>
        <v>transcerebellarDiameter_GA as 'Tanscerebellar diameter(TCD)c. (Auto calculate) Final TCD (mean of measurement 1 and 2)',</v>
      </c>
      <c r="I39" s="8"/>
      <c r="J39" s="8"/>
      <c r="K39" s="9" t="s">
        <v>251</v>
      </c>
      <c r="L39" s="39" t="s">
        <v>224</v>
      </c>
    </row>
    <row r="40" spans="1:12" ht="60">
      <c r="A40" s="29">
        <v>4.0999999999999996</v>
      </c>
      <c r="B40" s="17" t="s">
        <v>16</v>
      </c>
      <c r="C40" s="47" t="s">
        <v>135</v>
      </c>
      <c r="D40" s="17" t="s">
        <v>17</v>
      </c>
      <c r="E40" s="50" t="s">
        <v>54</v>
      </c>
      <c r="F40" s="35" t="s">
        <v>45</v>
      </c>
      <c r="G40" s="37" t="s">
        <v>131</v>
      </c>
      <c r="H40" s="41" t="str">
        <f t="shared" si="1"/>
        <v>lie as 'Fetal Lie',</v>
      </c>
      <c r="I40" s="17"/>
      <c r="J40" s="11"/>
      <c r="K40" s="18" t="s">
        <v>209</v>
      </c>
      <c r="L40" s="39" t="s">
        <v>220</v>
      </c>
    </row>
    <row r="41" spans="1:12" ht="45">
      <c r="A41" s="29" t="s">
        <v>183</v>
      </c>
      <c r="B41" s="17" t="s">
        <v>18</v>
      </c>
      <c r="C41" s="47" t="s">
        <v>135</v>
      </c>
      <c r="D41" s="17" t="s">
        <v>19</v>
      </c>
      <c r="E41" s="50" t="s">
        <v>54</v>
      </c>
      <c r="F41" s="35" t="s">
        <v>46</v>
      </c>
      <c r="G41" s="37" t="s">
        <v>131</v>
      </c>
      <c r="H41" s="41" t="str">
        <f t="shared" si="1"/>
        <v>presentation as 'Fetal Presentation',</v>
      </c>
      <c r="I41" s="17"/>
      <c r="J41" s="11"/>
      <c r="K41" s="18" t="s">
        <v>210</v>
      </c>
      <c r="L41" s="39" t="s">
        <v>220</v>
      </c>
    </row>
    <row r="42" spans="1:12" ht="30">
      <c r="A42" s="24">
        <v>4.3</v>
      </c>
      <c r="B42" s="8" t="s">
        <v>20</v>
      </c>
      <c r="C42" s="45" t="s">
        <v>135</v>
      </c>
      <c r="D42" s="8" t="s">
        <v>21</v>
      </c>
      <c r="E42" s="49" t="s">
        <v>35</v>
      </c>
      <c r="F42" s="21" t="s">
        <v>53</v>
      </c>
      <c r="G42" s="32" t="s">
        <v>131</v>
      </c>
      <c r="H42" s="39" t="str">
        <f t="shared" si="1"/>
        <v>fetalHeartbeat as 'Fetal heart activity be visualized? ',</v>
      </c>
      <c r="I42" s="8"/>
      <c r="J42" s="9"/>
      <c r="K42" s="9"/>
      <c r="L42" s="39"/>
    </row>
    <row r="43" spans="1:12" ht="30">
      <c r="A43" s="29" t="s">
        <v>194</v>
      </c>
      <c r="B43" s="30" t="s">
        <v>195</v>
      </c>
      <c r="C43" s="45" t="s">
        <v>135</v>
      </c>
      <c r="D43" s="8"/>
      <c r="E43" s="49" t="s">
        <v>56</v>
      </c>
      <c r="F43" s="21" t="s">
        <v>196</v>
      </c>
      <c r="G43" s="32" t="s">
        <v>131</v>
      </c>
      <c r="H43" s="39" t="s">
        <v>197</v>
      </c>
      <c r="I43" s="15" t="s">
        <v>198</v>
      </c>
      <c r="J43" s="15" t="s">
        <v>199</v>
      </c>
      <c r="K43" s="15" t="s">
        <v>200</v>
      </c>
      <c r="L43" s="39"/>
    </row>
    <row r="44" spans="1:12" ht="30">
      <c r="A44" s="29" t="s">
        <v>184</v>
      </c>
      <c r="B44" s="8" t="s">
        <v>22</v>
      </c>
      <c r="C44" s="48" t="s">
        <v>137</v>
      </c>
      <c r="D44" s="8" t="s">
        <v>162</v>
      </c>
      <c r="E44" s="49" t="s">
        <v>54</v>
      </c>
      <c r="F44" s="9" t="s">
        <v>106</v>
      </c>
      <c r="G44" s="32" t="s">
        <v>131</v>
      </c>
      <c r="H44" s="39" t="str">
        <f>F44&amp;" as 'Amniotic Fluid index(AFI)"&amp;D44&amp;"',"</f>
        <v>amnioticfluidindex_ga as 'Amniotic Fluid index(AFI)1. amniotic fluid index ',</v>
      </c>
      <c r="I44" s="8" t="s">
        <v>211</v>
      </c>
      <c r="J44" s="9" t="s">
        <v>212</v>
      </c>
      <c r="K44" s="19" t="s">
        <v>213</v>
      </c>
      <c r="L44" s="39"/>
    </row>
    <row r="45" spans="1:12" ht="135">
      <c r="A45" s="29" t="s">
        <v>185</v>
      </c>
      <c r="B45" s="30" t="s">
        <v>215</v>
      </c>
      <c r="C45" s="46" t="s">
        <v>136</v>
      </c>
      <c r="D45" s="8" t="s">
        <v>159</v>
      </c>
      <c r="E45" s="49" t="s">
        <v>54</v>
      </c>
      <c r="F45" s="9" t="s">
        <v>107</v>
      </c>
      <c r="G45" s="32" t="s">
        <v>131</v>
      </c>
      <c r="H45" s="39" t="str">
        <f t="shared" ref="H45:H48" si="4">F45&amp;" as 'Amniotic Fluid index(AFI)"&amp;D45&amp;"',"</f>
        <v>amnioticfluidindex1_ga as 'Amniotic Fluid index(AFI)2. amnioticfluidindex1_ga',</v>
      </c>
      <c r="I45" s="20" t="s">
        <v>150</v>
      </c>
      <c r="J45" s="21" t="s">
        <v>151</v>
      </c>
      <c r="K45" s="15" t="s">
        <v>164</v>
      </c>
      <c r="L45" s="39" t="s">
        <v>224</v>
      </c>
    </row>
    <row r="46" spans="1:12" ht="135">
      <c r="A46" s="29" t="s">
        <v>186</v>
      </c>
      <c r="B46" s="30" t="s">
        <v>216</v>
      </c>
      <c r="C46" s="46" t="s">
        <v>136</v>
      </c>
      <c r="D46" s="8" t="s">
        <v>160</v>
      </c>
      <c r="E46" s="49" t="s">
        <v>54</v>
      </c>
      <c r="F46" s="21" t="s">
        <v>108</v>
      </c>
      <c r="G46" s="32" t="s">
        <v>131</v>
      </c>
      <c r="H46" s="39" t="str">
        <f t="shared" si="4"/>
        <v>amnioticfluidindex2_ga as 'Amniotic Fluid index(AFI)3. amnioticfluidindex2_ga',</v>
      </c>
      <c r="I46" s="8" t="s">
        <v>150</v>
      </c>
      <c r="J46" s="8" t="s">
        <v>151</v>
      </c>
      <c r="K46" s="15" t="s">
        <v>164</v>
      </c>
      <c r="L46" s="39" t="s">
        <v>224</v>
      </c>
    </row>
    <row r="47" spans="1:12" ht="135">
      <c r="A47" s="29" t="s">
        <v>187</v>
      </c>
      <c r="B47" s="30" t="s">
        <v>217</v>
      </c>
      <c r="C47" s="46" t="s">
        <v>136</v>
      </c>
      <c r="D47" s="8" t="s">
        <v>161</v>
      </c>
      <c r="E47" s="49" t="s">
        <v>54</v>
      </c>
      <c r="F47" s="21" t="s">
        <v>109</v>
      </c>
      <c r="G47" s="32" t="s">
        <v>131</v>
      </c>
      <c r="H47" s="39" t="str">
        <f t="shared" si="4"/>
        <v>amnioticfluidindex3_ga as 'Amniotic Fluid index(AFI)4. amnioticfluidindex3_ga ',</v>
      </c>
      <c r="I47" s="8" t="s">
        <v>152</v>
      </c>
      <c r="J47" s="8" t="s">
        <v>153</v>
      </c>
      <c r="K47" s="15" t="s">
        <v>164</v>
      </c>
      <c r="L47" s="39" t="s">
        <v>224</v>
      </c>
    </row>
    <row r="48" spans="1:12" ht="18.95" customHeight="1">
      <c r="A48" s="29" t="s">
        <v>188</v>
      </c>
      <c r="B48" s="30" t="s">
        <v>218</v>
      </c>
      <c r="C48" s="46" t="s">
        <v>136</v>
      </c>
      <c r="D48" s="8" t="s">
        <v>163</v>
      </c>
      <c r="E48" s="49" t="s">
        <v>54</v>
      </c>
      <c r="F48" s="21" t="s">
        <v>110</v>
      </c>
      <c r="G48" s="32" t="s">
        <v>131</v>
      </c>
      <c r="H48" s="39" t="str">
        <f t="shared" si="4"/>
        <v>amnioticfluidindex4_ga as 'Amniotic Fluid index(AFI)5. amnioticfluidindex4_ga',</v>
      </c>
      <c r="I48" s="8" t="s">
        <v>166</v>
      </c>
      <c r="J48" s="8" t="s">
        <v>151</v>
      </c>
      <c r="K48" s="15" t="s">
        <v>164</v>
      </c>
      <c r="L48" s="39" t="s">
        <v>224</v>
      </c>
    </row>
    <row r="49" spans="1:67" ht="60">
      <c r="A49" s="29">
        <v>4.5</v>
      </c>
      <c r="B49" s="8" t="s">
        <v>23</v>
      </c>
      <c r="C49" s="45" t="s">
        <v>135</v>
      </c>
      <c r="D49" s="9"/>
      <c r="E49" s="49" t="s">
        <v>54</v>
      </c>
      <c r="F49" s="21" t="s">
        <v>47</v>
      </c>
      <c r="G49" s="32" t="s">
        <v>131</v>
      </c>
      <c r="H49" s="39" t="str">
        <f>F49&amp;" as '"&amp;B49&amp;"',"</f>
        <v>estimatedFetalWeight as 'Estimated fetal weight ',</v>
      </c>
      <c r="I49" s="8" t="s">
        <v>154</v>
      </c>
      <c r="J49" s="8" t="s">
        <v>155</v>
      </c>
      <c r="K49" s="9" t="s">
        <v>157</v>
      </c>
      <c r="L49" s="39" t="s">
        <v>223</v>
      </c>
    </row>
    <row r="50" spans="1:67" ht="195">
      <c r="A50" s="29">
        <v>4.5999999999999996</v>
      </c>
      <c r="B50" s="8" t="s">
        <v>24</v>
      </c>
      <c r="C50" s="45" t="s">
        <v>135</v>
      </c>
      <c r="D50" s="8" t="s">
        <v>25</v>
      </c>
      <c r="E50" s="49" t="s">
        <v>54</v>
      </c>
      <c r="F50" s="21" t="s">
        <v>48</v>
      </c>
      <c r="G50" s="32" t="s">
        <v>131</v>
      </c>
      <c r="H50" s="39" t="str">
        <f t="shared" si="1"/>
        <v>presence_of_fetal_anomalies as 'Does Ultrasound indicate fetal anomalies',</v>
      </c>
      <c r="I50" s="8"/>
      <c r="J50" s="9"/>
      <c r="K50" s="9"/>
      <c r="L50" s="39"/>
    </row>
    <row r="51" spans="1:67" ht="30">
      <c r="A51" s="29" t="s">
        <v>189</v>
      </c>
      <c r="B51" s="8" t="s">
        <v>112</v>
      </c>
      <c r="C51" s="45" t="s">
        <v>135</v>
      </c>
      <c r="D51" s="8"/>
      <c r="E51" s="49" t="s">
        <v>54</v>
      </c>
      <c r="F51" s="21" t="s">
        <v>113</v>
      </c>
      <c r="G51" s="32" t="s">
        <v>131</v>
      </c>
      <c r="H51" s="39" t="str">
        <f t="shared" si="1"/>
        <v>otherfetalanomalies as 'Does Ultrasound indicate fetal anomalies (Other Specify)',</v>
      </c>
      <c r="I51" s="8"/>
      <c r="J51" s="9"/>
      <c r="K51" s="9" t="s">
        <v>158</v>
      </c>
      <c r="L51" s="39"/>
    </row>
    <row r="52" spans="1:67" ht="60">
      <c r="A52" s="29">
        <v>4.7</v>
      </c>
      <c r="B52" s="8" t="s">
        <v>26</v>
      </c>
      <c r="C52" s="45" t="s">
        <v>135</v>
      </c>
      <c r="D52" s="8" t="s">
        <v>27</v>
      </c>
      <c r="E52" s="49" t="s">
        <v>54</v>
      </c>
      <c r="F52" s="21" t="s">
        <v>49</v>
      </c>
      <c r="G52" s="32" t="s">
        <v>131</v>
      </c>
      <c r="H52" s="39" t="str">
        <f t="shared" si="1"/>
        <v>liquorDescription as 'Liquor description ',</v>
      </c>
      <c r="I52" s="8"/>
      <c r="J52" s="9"/>
      <c r="K52" s="9"/>
      <c r="L52" s="39"/>
    </row>
    <row r="53" spans="1:67" ht="135">
      <c r="A53" s="29">
        <v>4.8</v>
      </c>
      <c r="B53" s="8" t="s">
        <v>28</v>
      </c>
      <c r="C53" s="45" t="s">
        <v>135</v>
      </c>
      <c r="D53" s="8" t="s">
        <v>29</v>
      </c>
      <c r="E53" s="49" t="s">
        <v>54</v>
      </c>
      <c r="F53" s="21" t="s">
        <v>50</v>
      </c>
      <c r="G53" s="32" t="s">
        <v>131</v>
      </c>
      <c r="H53" s="39" t="str">
        <f t="shared" si="1"/>
        <v>placentalLocalization as 'Placental localization ',</v>
      </c>
      <c r="I53" s="8"/>
      <c r="J53" s="9"/>
      <c r="K53" s="9"/>
      <c r="L53" s="39" t="s">
        <v>221</v>
      </c>
    </row>
    <row r="54" spans="1:67" ht="90">
      <c r="A54" s="24">
        <v>4.9000000000000004</v>
      </c>
      <c r="B54" s="8" t="s">
        <v>30</v>
      </c>
      <c r="C54" s="45" t="s">
        <v>135</v>
      </c>
      <c r="D54" s="8" t="s">
        <v>31</v>
      </c>
      <c r="E54" s="49" t="s">
        <v>54</v>
      </c>
      <c r="F54" s="21" t="s">
        <v>51</v>
      </c>
      <c r="G54" s="32" t="s">
        <v>131</v>
      </c>
      <c r="H54" s="39" t="str">
        <f t="shared" si="1"/>
        <v>placental_abruption as 'Is there evidence of placental abruption ',</v>
      </c>
      <c r="I54" s="8"/>
      <c r="J54" s="9"/>
      <c r="K54" s="9"/>
      <c r="L54" s="39" t="s">
        <v>222</v>
      </c>
    </row>
    <row r="55" spans="1:67" ht="90">
      <c r="A55" s="24" t="s">
        <v>190</v>
      </c>
      <c r="B55" s="8" t="s">
        <v>32</v>
      </c>
      <c r="C55" s="45" t="s">
        <v>135</v>
      </c>
      <c r="D55" s="8" t="s">
        <v>31</v>
      </c>
      <c r="E55" s="49" t="s">
        <v>54</v>
      </c>
      <c r="F55" s="21" t="s">
        <v>52</v>
      </c>
      <c r="G55" s="32" t="s">
        <v>131</v>
      </c>
      <c r="H55" s="39" t="str">
        <f t="shared" si="1"/>
        <v>placenta_previa as 'Is there evidence of placenta previa ',</v>
      </c>
      <c r="I55" s="8"/>
      <c r="J55" s="9"/>
      <c r="K55" s="9"/>
      <c r="L55" s="39" t="s">
        <v>222</v>
      </c>
    </row>
    <row r="56" spans="1:67" ht="90">
      <c r="A56" s="31">
        <v>5.0999999999999996</v>
      </c>
      <c r="B56" s="8" t="s">
        <v>226</v>
      </c>
      <c r="C56" s="45" t="s">
        <v>135</v>
      </c>
      <c r="D56" s="8" t="s">
        <v>192</v>
      </c>
      <c r="E56" s="49" t="s">
        <v>56</v>
      </c>
      <c r="F56" s="21" t="s">
        <v>191</v>
      </c>
      <c r="G56" s="32" t="s">
        <v>131</v>
      </c>
      <c r="H56" s="39" t="str">
        <f t="shared" si="1"/>
        <v>suspected_placenta_previa as 'If yes; then suspected placenta previa',</v>
      </c>
      <c r="I56" s="8"/>
      <c r="J56" s="9"/>
      <c r="K56" s="15" t="s">
        <v>193</v>
      </c>
      <c r="L56" s="39" t="s">
        <v>222</v>
      </c>
    </row>
    <row r="57" spans="1:67" s="22" customFormat="1">
      <c r="A57" s="25" t="s">
        <v>102</v>
      </c>
      <c r="B57" s="8" t="s">
        <v>104</v>
      </c>
      <c r="C57" s="45" t="s">
        <v>135</v>
      </c>
      <c r="D57" s="9"/>
      <c r="E57" s="24" t="s">
        <v>56</v>
      </c>
      <c r="F57" s="9" t="s">
        <v>105</v>
      </c>
      <c r="G57" s="32" t="s">
        <v>131</v>
      </c>
      <c r="H57" s="39" t="str">
        <f>F57&amp;" as '"&amp;B57&amp;"'"</f>
        <v>ultrasound.providerid as 'User_ID'</v>
      </c>
      <c r="I57" s="8"/>
      <c r="J57" s="9"/>
      <c r="K57" s="9"/>
      <c r="L57" s="39"/>
      <c r="M57" s="10"/>
      <c r="N57" s="10"/>
      <c r="O57" s="28"/>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sheetData>
  <phoneticPr fontId="3" type="noConversion"/>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Ultrasound_mapping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Ayesha khan4</dc:creator>
  <cp:lastModifiedBy>JUMBO COMPUTERS</cp:lastModifiedBy>
  <dcterms:created xsi:type="dcterms:W3CDTF">2024-07-29T10:58:53Z</dcterms:created>
  <dcterms:modified xsi:type="dcterms:W3CDTF">2025-12-10T20:49:39Z</dcterms:modified>
</cp:coreProperties>
</file>